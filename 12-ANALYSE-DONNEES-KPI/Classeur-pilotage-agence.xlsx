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ce" sheetId="1" state="visible" r:id="rId1"/>
    <sheet xmlns:r="http://schemas.openxmlformats.org/officeDocument/2006/relationships" name="Tableau de bord" sheetId="2" state="visible" r:id="rId2"/>
    <sheet xmlns:r="http://schemas.openxmlformats.org/officeDocument/2006/relationships" name="Suivi candidatures" sheetId="3" state="visible" r:id="rId3"/>
    <sheet xmlns:r="http://schemas.openxmlformats.org/officeDocument/2006/relationships" name="Prospection entreprises" sheetId="4" state="visible" r:id="rId4"/>
    <sheet xmlns:r="http://schemas.openxmlformats.org/officeDocument/2006/relationships" name="Placements &amp; suivi" sheetId="5" state="visible" r:id="rId5"/>
    <sheet xmlns:r="http://schemas.openxmlformats.org/officeDocument/2006/relationships" name="Portefeuille" sheetId="6" state="visible" r:id="rId6"/>
    <sheet xmlns:r="http://schemas.openxmlformats.org/officeDocument/2006/relationships" name="Cohortes" sheetId="7" state="visible" r:id="rId7"/>
    <sheet xmlns:r="http://schemas.openxmlformats.org/officeDocument/2006/relationships" name="Équité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"/>
    <numFmt numFmtId="166" formatCode="dd/mm/yyyy"/>
    <numFmt numFmtId="167" formatCode="mmm yyyy"/>
    <numFmt numFmtId="168" formatCode="mmmm yyyy"/>
    <numFmt numFmtId="169" formatCode="+0.0;-0.0;0.0"/>
  </numFmts>
  <fonts count="8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95959"/>
      <sz val="9"/>
    </font>
    <font>
      <b val="1"/>
      <color rgb="00FFFFFF"/>
      <sz val="11"/>
    </font>
    <font>
      <b val="1"/>
    </font>
    <font>
      <b val="1"/>
      <color rgb="001F4E79"/>
    </font>
    <font>
      <color rgb="00595959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0B4"/>
      </patternFill>
    </fill>
    <fill>
      <patternFill patternType="solid">
        <fgColor rgb="00F2F7FC"/>
      </patternFill>
    </fill>
    <fill>
      <patternFill patternType="solid">
        <fgColor rgb="00EEF3F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inden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0" fontId="4" fillId="3" borderId="1" pivotButton="0" quotePrefix="0" xfId="0"/>
    <xf numFmtId="164" fontId="0" fillId="3" borderId="1" pivotButton="0" quotePrefix="0" xfId="0"/>
    <xf numFmtId="1" fontId="0" fillId="3" borderId="1" pivotButton="0" quotePrefix="0" xfId="0"/>
    <xf numFmtId="165" fontId="0" fillId="3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6" fontId="0" fillId="0" borderId="1" pivotButton="0" quotePrefix="0" xfId="0"/>
    <xf numFmtId="167" fontId="0" fillId="5" borderId="1" pivotButton="0" quotePrefix="0" xfId="0"/>
    <xf numFmtId="0" fontId="0" fillId="5" borderId="1" pivotButton="0" quotePrefix="0" xfId="0"/>
    <xf numFmtId="0" fontId="0" fillId="6" borderId="1" pivotButton="0" quotePrefix="0" xfId="0"/>
    <xf numFmtId="168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164" fontId="4" fillId="3" borderId="1" pivotButton="0" quotePrefix="0" xfId="0"/>
    <xf numFmtId="1" fontId="4" fillId="3" borderId="1" pivotButton="0" quotePrefix="0" xfId="0"/>
    <xf numFmtId="0" fontId="0" fillId="3" borderId="1" pivotButton="0" quotePrefix="0" xfId="0"/>
    <xf numFmtId="169" fontId="0" fillId="0" borderId="1" pivotButton="0" quotePrefix="0" xfId="0"/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85" customWidth="1" min="2" max="2"/>
  </cols>
  <sheetData>
    <row r="1" ht="30" customHeight="1">
      <c r="A1" s="1" t="inlineStr">
        <is>
          <t>🧰 CLASSEUR DE PILOTAGE — MODE D'EMPLOI</t>
        </is>
      </c>
    </row>
    <row r="2"/>
    <row r="3">
      <c r="A3" s="2" t="inlineStr"/>
      <c r="B3" s="3" t="inlineStr"/>
    </row>
    <row r="4">
      <c r="A4" s="4" t="inlineStr">
        <is>
          <t>Onglet</t>
        </is>
      </c>
      <c r="B4" s="4" t="inlineStr">
        <is>
          <t>Usage</t>
        </is>
      </c>
    </row>
    <row r="5">
      <c r="A5" s="2" t="inlineStr">
        <is>
          <t>Tableau de bord</t>
        </is>
      </c>
      <c r="B5" s="3" t="inlineStr">
        <is>
          <t>Saisir chaque mois : accueillis, placés, en emploi à 6 mois, offres, satisfaction. Les taux se calculent seuls.</t>
        </is>
      </c>
    </row>
    <row r="6">
      <c r="A6" s="2" t="inlineStr">
        <is>
          <t>Suivi candidatures</t>
        </is>
      </c>
      <c r="B6" s="3" t="inlineStr">
        <is>
          <t>Une ligne par candidature d'un bénéficiaire. Listes déroulantes pour Statut et Canal.</t>
        </is>
      </c>
    </row>
    <row r="7">
      <c r="A7" s="2" t="inlineStr">
        <is>
          <t>Prospection entreprises</t>
        </is>
      </c>
      <c r="B7" s="3" t="inlineStr">
        <is>
          <t>Fichier des employeurs du territoire : besoins, statut du partenariat, relances.</t>
        </is>
      </c>
    </row>
    <row r="8">
      <c r="A8" s="2" t="inlineStr">
        <is>
          <t>Placements &amp; suivi</t>
        </is>
      </c>
      <c r="B8" s="3" t="inlineStr">
        <is>
          <t>Suivi de chaque personne placée jusqu'à 6 mois (intégration, maintien, satisfaction, risque).</t>
        </is>
      </c>
    </row>
    <row r="9">
      <c r="A9" s="2" t="inlineStr"/>
      <c r="B9" s="3" t="inlineStr"/>
    </row>
    <row r="10">
      <c r="A10" s="4" t="inlineStr">
        <is>
          <t>Indicateurs calculés</t>
        </is>
      </c>
      <c r="B10" s="4" t="inlineStr">
        <is>
          <t>Formule</t>
        </is>
      </c>
    </row>
    <row r="11">
      <c r="A11" s="2" t="inlineStr">
        <is>
          <t>Taux de placement</t>
        </is>
      </c>
      <c r="B11" s="3" t="inlineStr">
        <is>
          <t>Placés / Accueillis</t>
        </is>
      </c>
    </row>
    <row r="12">
      <c r="A12" s="2" t="inlineStr">
        <is>
          <t>Taux de maintien</t>
        </is>
      </c>
      <c r="B12" s="3" t="inlineStr">
        <is>
          <t>En emploi à 6 mois / Placés</t>
        </is>
      </c>
    </row>
    <row r="13">
      <c r="A13" s="2" t="inlineStr">
        <is>
          <t>Taux d'offres pourvues</t>
        </is>
      </c>
      <c r="B13" s="3" t="inlineStr">
        <is>
          <t>Offres pourvues / Offres collectées</t>
        </is>
      </c>
    </row>
    <row r="14">
      <c r="A14" s="2" t="inlineStr"/>
      <c r="B14" s="3" t="inlineStr"/>
    </row>
    <row r="15">
      <c r="A15" s="2" t="inlineStr">
        <is>
          <t>Conseil</t>
        </is>
      </c>
      <c r="B15" s="3" t="inlineStr">
        <is>
          <t>Faire une revue mensuelle : lire les chiffres puis décider d'une action corrective (voir module 12 de la valise).</t>
        </is>
      </c>
    </row>
    <row r="17">
      <c r="A17" s="14" t="inlineStr">
        <is>
          <t>Onglets ajoutés</t>
        </is>
      </c>
    </row>
    <row r="18">
      <c r="A18" s="14" t="inlineStr">
        <is>
          <t>Portefeuille</t>
        </is>
      </c>
      <c r="B18" s="15" t="inlineStr">
        <is>
          <t>NOUVEAU — une ligne par bénéficiaire : entrée, profil, mode, placement, maintien, sortie. Source des onglets Cohortes et Équité.</t>
        </is>
      </c>
    </row>
    <row r="19">
      <c r="A19" s="14" t="inlineStr">
        <is>
          <t>Cohortes</t>
        </is>
      </c>
      <c r="B19" s="15" t="inlineStr">
        <is>
          <t>NOUVEAU — taux de placement et de maintien calculés par mois d'entrée (méthode fiable pour comparer les périodes).</t>
        </is>
      </c>
    </row>
    <row r="20">
      <c r="A20" s="14" t="inlineStr">
        <is>
          <t>Équité</t>
        </is>
      </c>
      <c r="B20" s="15" t="inlineStr">
        <is>
          <t>NOUVEAU — résultats par genre, public, zone, mode, âge et niveau : repère les publics désavantagés (écrémage).</t>
        </is>
      </c>
    </row>
    <row r="22">
      <c r="A22" s="14" t="inlineStr">
        <is>
          <t>Attention</t>
        </is>
      </c>
      <c r="B22" s="15" t="inlineStr">
        <is>
          <t>L'onglet Tableau de bord rapporte les placés du mois aux accueillis du même mois : utile pour suivre l'activité, mais ce ne sont pas les mêmes personnes. Pour mesurer l'efficacité, utiliser Cohortes.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2" customWidth="1" min="4" max="4"/>
    <col width="15" customWidth="1" min="5" max="5"/>
    <col width="11" customWidth="1" min="6" max="6"/>
    <col width="12" customWidth="1" min="7" max="7"/>
    <col width="13" customWidth="1" min="8" max="8"/>
    <col width="12" customWidth="1" min="9" max="9"/>
    <col width="14" customWidth="1" min="10" max="10"/>
    <col width="13" customWidth="1" min="11" max="11"/>
  </cols>
  <sheetData>
    <row r="1" ht="30" customHeight="1">
      <c r="A1" s="1" t="inlineStr">
        <is>
          <t>📊 TABLEAU DE BORD MENSUEL — PILOTAGE</t>
        </is>
      </c>
    </row>
    <row r="2">
      <c r="A2" s="5" t="inlineStr">
        <is>
          <t>Saisir les cellules blanches. Les colonnes de taux se calculent automatiquement.</t>
        </is>
      </c>
    </row>
    <row r="4" ht="42" customHeight="1">
      <c r="A4" s="4" t="inlineStr">
        <is>
          <t>Mois</t>
        </is>
      </c>
      <c r="B4" s="4" t="inlineStr">
        <is>
          <t>Accueillis</t>
        </is>
      </c>
      <c r="C4" s="4" t="inlineStr">
        <is>
          <t>Placés</t>
        </is>
      </c>
      <c r="D4" s="4" t="inlineStr">
        <is>
          <t>Taux placement</t>
        </is>
      </c>
      <c r="E4" s="4" t="inlineStr">
        <is>
          <t>En emploi à 6 mois</t>
        </is>
      </c>
      <c r="F4" s="4" t="inlineStr">
        <is>
          <t>Taux maintien</t>
        </is>
      </c>
      <c r="G4" s="4" t="inlineStr">
        <is>
          <t>Délai moyen (j)</t>
        </is>
      </c>
      <c r="H4" s="4" t="inlineStr">
        <is>
          <t>Offres collectées</t>
        </is>
      </c>
      <c r="I4" s="4" t="inlineStr">
        <is>
          <t>Offres pourvues</t>
        </is>
      </c>
      <c r="J4" s="4" t="inlineStr">
        <is>
          <t>Taux offres pourvues</t>
        </is>
      </c>
      <c r="K4" s="4" t="inlineStr">
        <is>
          <t>Satisfaction /10</t>
        </is>
      </c>
    </row>
    <row r="5">
      <c r="A5" s="6" t="inlineStr">
        <is>
          <t>Janvier</t>
        </is>
      </c>
      <c r="B5" s="6" t="n"/>
      <c r="C5" s="6" t="n"/>
      <c r="D5" s="7">
        <f>IFERROR(C5/B5,"")</f>
        <v/>
      </c>
      <c r="E5" s="6" t="n"/>
      <c r="F5" s="7">
        <f>IFERROR(E5/C5,"")</f>
        <v/>
      </c>
      <c r="G5" s="6" t="n"/>
      <c r="H5" s="6" t="n"/>
      <c r="I5" s="6" t="n"/>
      <c r="J5" s="7">
        <f>IFERROR(I5/H5,"")</f>
        <v/>
      </c>
      <c r="K5" s="6" t="n"/>
    </row>
    <row r="6">
      <c r="A6" s="8" t="inlineStr">
        <is>
          <t>Février</t>
        </is>
      </c>
      <c r="B6" s="8" t="n"/>
      <c r="C6" s="8" t="n"/>
      <c r="D6" s="9">
        <f>IFERROR(C6/B6,"")</f>
        <v/>
      </c>
      <c r="E6" s="8" t="n"/>
      <c r="F6" s="9">
        <f>IFERROR(E6/C6,"")</f>
        <v/>
      </c>
      <c r="G6" s="8" t="n"/>
      <c r="H6" s="8" t="n"/>
      <c r="I6" s="8" t="n"/>
      <c r="J6" s="9">
        <f>IFERROR(I6/H6,"")</f>
        <v/>
      </c>
      <c r="K6" s="8" t="n"/>
    </row>
    <row r="7">
      <c r="A7" s="6" t="inlineStr">
        <is>
          <t>Mars</t>
        </is>
      </c>
      <c r="B7" s="6" t="n"/>
      <c r="C7" s="6" t="n"/>
      <c r="D7" s="7">
        <f>IFERROR(C7/B7,"")</f>
        <v/>
      </c>
      <c r="E7" s="6" t="n"/>
      <c r="F7" s="7">
        <f>IFERROR(E7/C7,"")</f>
        <v/>
      </c>
      <c r="G7" s="6" t="n"/>
      <c r="H7" s="6" t="n"/>
      <c r="I7" s="6" t="n"/>
      <c r="J7" s="7">
        <f>IFERROR(I7/H7,"")</f>
        <v/>
      </c>
      <c r="K7" s="6" t="n"/>
    </row>
    <row r="8">
      <c r="A8" s="8" t="inlineStr">
        <is>
          <t>Avril</t>
        </is>
      </c>
      <c r="B8" s="8" t="n"/>
      <c r="C8" s="8" t="n"/>
      <c r="D8" s="9">
        <f>IFERROR(C8/B8,"")</f>
        <v/>
      </c>
      <c r="E8" s="8" t="n"/>
      <c r="F8" s="9">
        <f>IFERROR(E8/C8,"")</f>
        <v/>
      </c>
      <c r="G8" s="8" t="n"/>
      <c r="H8" s="8" t="n"/>
      <c r="I8" s="8" t="n"/>
      <c r="J8" s="9">
        <f>IFERROR(I8/H8,"")</f>
        <v/>
      </c>
      <c r="K8" s="8" t="n"/>
    </row>
    <row r="9">
      <c r="A9" s="6" t="inlineStr">
        <is>
          <t>Mai</t>
        </is>
      </c>
      <c r="B9" s="6" t="n"/>
      <c r="C9" s="6" t="n"/>
      <c r="D9" s="7">
        <f>IFERROR(C9/B9,"")</f>
        <v/>
      </c>
      <c r="E9" s="6" t="n"/>
      <c r="F9" s="7">
        <f>IFERROR(E9/C9,"")</f>
        <v/>
      </c>
      <c r="G9" s="6" t="n"/>
      <c r="H9" s="6" t="n"/>
      <c r="I9" s="6" t="n"/>
      <c r="J9" s="7">
        <f>IFERROR(I9/H9,"")</f>
        <v/>
      </c>
      <c r="K9" s="6" t="n"/>
    </row>
    <row r="10">
      <c r="A10" s="8" t="inlineStr">
        <is>
          <t>Juin</t>
        </is>
      </c>
      <c r="B10" s="8" t="n"/>
      <c r="C10" s="8" t="n"/>
      <c r="D10" s="9">
        <f>IFERROR(C10/B10,"")</f>
        <v/>
      </c>
      <c r="E10" s="8" t="n"/>
      <c r="F10" s="9">
        <f>IFERROR(E10/C10,"")</f>
        <v/>
      </c>
      <c r="G10" s="8" t="n"/>
      <c r="H10" s="8" t="n"/>
      <c r="I10" s="8" t="n"/>
      <c r="J10" s="9">
        <f>IFERROR(I10/H10,"")</f>
        <v/>
      </c>
      <c r="K10" s="8" t="n"/>
    </row>
    <row r="11">
      <c r="A11" s="6" t="inlineStr">
        <is>
          <t>Juillet</t>
        </is>
      </c>
      <c r="B11" s="6" t="n"/>
      <c r="C11" s="6" t="n"/>
      <c r="D11" s="7">
        <f>IFERROR(C11/B11,"")</f>
        <v/>
      </c>
      <c r="E11" s="6" t="n"/>
      <c r="F11" s="7">
        <f>IFERROR(E11/C11,"")</f>
        <v/>
      </c>
      <c r="G11" s="6" t="n"/>
      <c r="H11" s="6" t="n"/>
      <c r="I11" s="6" t="n"/>
      <c r="J11" s="7">
        <f>IFERROR(I11/H11,"")</f>
        <v/>
      </c>
      <c r="K11" s="6" t="n"/>
    </row>
    <row r="12">
      <c r="A12" s="8" t="inlineStr">
        <is>
          <t>Août</t>
        </is>
      </c>
      <c r="B12" s="8" t="n"/>
      <c r="C12" s="8" t="n"/>
      <c r="D12" s="9">
        <f>IFERROR(C12/B12,"")</f>
        <v/>
      </c>
      <c r="E12" s="8" t="n"/>
      <c r="F12" s="9">
        <f>IFERROR(E12/C12,"")</f>
        <v/>
      </c>
      <c r="G12" s="8" t="n"/>
      <c r="H12" s="8" t="n"/>
      <c r="I12" s="8" t="n"/>
      <c r="J12" s="9">
        <f>IFERROR(I12/H12,"")</f>
        <v/>
      </c>
      <c r="K12" s="8" t="n"/>
    </row>
    <row r="13">
      <c r="A13" s="6" t="inlineStr">
        <is>
          <t>Septembre</t>
        </is>
      </c>
      <c r="B13" s="6" t="n"/>
      <c r="C13" s="6" t="n"/>
      <c r="D13" s="7">
        <f>IFERROR(C13/B13,"")</f>
        <v/>
      </c>
      <c r="E13" s="6" t="n"/>
      <c r="F13" s="7">
        <f>IFERROR(E13/C13,"")</f>
        <v/>
      </c>
      <c r="G13" s="6" t="n"/>
      <c r="H13" s="6" t="n"/>
      <c r="I13" s="6" t="n"/>
      <c r="J13" s="7">
        <f>IFERROR(I13/H13,"")</f>
        <v/>
      </c>
      <c r="K13" s="6" t="n"/>
    </row>
    <row r="14">
      <c r="A14" s="8" t="inlineStr">
        <is>
          <t>Octobre</t>
        </is>
      </c>
      <c r="B14" s="8" t="n"/>
      <c r="C14" s="8" t="n"/>
      <c r="D14" s="9">
        <f>IFERROR(C14/B14,"")</f>
        <v/>
      </c>
      <c r="E14" s="8" t="n"/>
      <c r="F14" s="9">
        <f>IFERROR(E14/C14,"")</f>
        <v/>
      </c>
      <c r="G14" s="8" t="n"/>
      <c r="H14" s="8" t="n"/>
      <c r="I14" s="8" t="n"/>
      <c r="J14" s="9">
        <f>IFERROR(I14/H14,"")</f>
        <v/>
      </c>
      <c r="K14" s="8" t="n"/>
    </row>
    <row r="15">
      <c r="A15" s="6" t="inlineStr">
        <is>
          <t>Novembre</t>
        </is>
      </c>
      <c r="B15" s="6" t="n"/>
      <c r="C15" s="6" t="n"/>
      <c r="D15" s="7">
        <f>IFERROR(C15/B15,"")</f>
        <v/>
      </c>
      <c r="E15" s="6" t="n"/>
      <c r="F15" s="7">
        <f>IFERROR(E15/C15,"")</f>
        <v/>
      </c>
      <c r="G15" s="6" t="n"/>
      <c r="H15" s="6" t="n"/>
      <c r="I15" s="6" t="n"/>
      <c r="J15" s="7">
        <f>IFERROR(I15/H15,"")</f>
        <v/>
      </c>
      <c r="K15" s="6" t="n"/>
    </row>
    <row r="16">
      <c r="A16" s="8" t="inlineStr">
        <is>
          <t>Décembre</t>
        </is>
      </c>
      <c r="B16" s="8" t="n"/>
      <c r="C16" s="8" t="n"/>
      <c r="D16" s="9">
        <f>IFERROR(C16/B16,"")</f>
        <v/>
      </c>
      <c r="E16" s="8" t="n"/>
      <c r="F16" s="9">
        <f>IFERROR(E16/C16,"")</f>
        <v/>
      </c>
      <c r="G16" s="8" t="n"/>
      <c r="H16" s="8" t="n"/>
      <c r="I16" s="8" t="n"/>
      <c r="J16" s="9">
        <f>IFERROR(I16/H16,"")</f>
        <v/>
      </c>
      <c r="K16" s="8" t="n"/>
    </row>
    <row r="17">
      <c r="A17" s="10" t="inlineStr">
        <is>
          <t>TOTAL / MOYENNE</t>
        </is>
      </c>
      <c r="B17" s="10">
        <f>SUM(B5:B16)</f>
        <v/>
      </c>
      <c r="C17" s="10">
        <f>SUM(C5:C16)</f>
        <v/>
      </c>
      <c r="D17" s="11">
        <f>IFERROR(C17/B17,"")</f>
        <v/>
      </c>
      <c r="E17" s="10">
        <f>SUM(E5:E16)</f>
        <v/>
      </c>
      <c r="F17" s="11">
        <f>IFERROR(E17/C17,"")</f>
        <v/>
      </c>
      <c r="G17" s="12">
        <f>IFERROR(AVERAGE(G5:G16),"")</f>
        <v/>
      </c>
      <c r="H17" s="10">
        <f>SUM(H5:H16)</f>
        <v/>
      </c>
      <c r="I17" s="10">
        <f>SUM(I5:I16)</f>
        <v/>
      </c>
      <c r="J17" s="11">
        <f>IFERROR(I17/H17,"")</f>
        <v/>
      </c>
      <c r="K17" s="13">
        <f>IFERROR(AVERAGE(K5:K16),"")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14" customWidth="1" min="5" max="5"/>
    <col width="18" customWidth="1" min="6" max="6"/>
    <col width="16" customWidth="1" min="7" max="7"/>
    <col width="12" customWidth="1" min="8" max="8"/>
    <col width="16" customWidth="1" min="9" max="9"/>
    <col width="26" customWidth="1" min="10" max="10"/>
  </cols>
  <sheetData>
    <row r="1" ht="30" customHeight="1">
      <c r="A1" s="1" t="inlineStr">
        <is>
          <t>📝 SUIVI DES CANDIDATURES</t>
        </is>
      </c>
    </row>
    <row r="2">
      <c r="A2" s="5" t="inlineStr">
        <is>
          <t>Une ligne par candidature envoyée. Utiliser les listes déroulantes (Statut, Canal).</t>
        </is>
      </c>
    </row>
    <row r="4">
      <c r="A4" s="4" t="inlineStr">
        <is>
          <t>Date</t>
        </is>
      </c>
      <c r="B4" s="4" t="inlineStr">
        <is>
          <t>Bénéficiaire</t>
        </is>
      </c>
      <c r="C4" s="4" t="inlineStr">
        <is>
          <t>Poste visé</t>
        </is>
      </c>
      <c r="D4" s="4" t="inlineStr">
        <is>
          <t>Entreprise</t>
        </is>
      </c>
      <c r="E4" s="4" t="inlineStr">
        <is>
          <t>Canal</t>
        </is>
      </c>
      <c r="F4" s="4" t="inlineStr">
        <is>
          <t>Contact</t>
        </is>
      </c>
      <c r="G4" s="4" t="inlineStr">
        <is>
          <t>Statut</t>
        </is>
      </c>
      <c r="H4" s="4" t="inlineStr">
        <is>
          <t>Date relance</t>
        </is>
      </c>
      <c r="I4" s="4" t="inlineStr">
        <is>
          <t>Résultat</t>
        </is>
      </c>
      <c r="J4" s="4" t="inlineStr">
        <is>
          <t>Notes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</sheetData>
  <mergeCells count="2">
    <mergeCell ref="A1:J1"/>
    <mergeCell ref="A2:J2"/>
  </mergeCells>
  <dataValidations count="2">
    <dataValidation sqref="G5:G64" showDropDown="0" showInputMessage="0" showErrorMessage="0" allowBlank="1" type="list">
      <formula1>"À envoyer,Envoyé,Relancé,Entretien,Refus,Recruté,Sans suite"</formula1>
    </dataValidation>
    <dataValidation sqref="E5:E64" showDropDown="0" showInputMessage="0" showErrorMessage="0" allowBlank="1" type="list">
      <formula1>"Offre,Spontanée,Réseau,LinkedIn,Salon,Intérim"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8" customWidth="1" min="4" max="4"/>
    <col width="15" customWidth="1" min="5" max="5"/>
    <col width="22" customWidth="1" min="6" max="6"/>
    <col width="24" customWidth="1" min="7" max="7"/>
    <col width="16" customWidth="1" min="8" max="8"/>
    <col width="14" customWidth="1" min="9" max="9"/>
    <col width="22" customWidth="1" min="10" max="10"/>
    <col width="12" customWidth="1" min="11" max="11"/>
  </cols>
  <sheetData>
    <row r="1" ht="30" customHeight="1">
      <c r="A1" s="1" t="inlineStr">
        <is>
          <t>🏢 PROSPECTION &amp; RELATION ENTREPRISES</t>
        </is>
      </c>
    </row>
    <row r="2">
      <c r="A2" s="5" t="inlineStr">
        <is>
          <t>Fichier de suivi des employeurs du territoire et des partenariats.</t>
        </is>
      </c>
    </row>
    <row r="4">
      <c r="A4" s="4" t="inlineStr">
        <is>
          <t>Entreprise</t>
        </is>
      </c>
      <c r="B4" s="4" t="inlineStr">
        <is>
          <t>Secteur</t>
        </is>
      </c>
      <c r="C4" s="4" t="inlineStr">
        <is>
          <t>Taille</t>
        </is>
      </c>
      <c r="D4" s="4" t="inlineStr">
        <is>
          <t>Contact</t>
        </is>
      </c>
      <c r="E4" s="4" t="inlineStr">
        <is>
          <t>Téléphone</t>
        </is>
      </c>
      <c r="F4" s="4" t="inlineStr">
        <is>
          <t>Email</t>
        </is>
      </c>
      <c r="G4" s="4" t="inlineStr">
        <is>
          <t>Besoin détecté</t>
        </is>
      </c>
      <c r="H4" s="4" t="inlineStr">
        <is>
          <t>Statut</t>
        </is>
      </c>
      <c r="I4" s="4" t="inlineStr">
        <is>
          <t>Dernier contact</t>
        </is>
      </c>
      <c r="J4" s="4" t="inlineStr">
        <is>
          <t>Prochaine action</t>
        </is>
      </c>
      <c r="K4" s="4" t="inlineStr">
        <is>
          <t>Date relance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</row>
  </sheetData>
  <mergeCells count="2">
    <mergeCell ref="A2:K2"/>
    <mergeCell ref="A1:K1"/>
  </mergeCells>
  <dataValidations count="1">
    <dataValidation sqref="H5:H64" showDropDown="0" showInputMessage="0" showErrorMessage="0" allowBlank="1" type="list">
      <formula1>"À contacter,Contacté,RDV pris,Partenaire actif,Offre en cours,À relancer,Inactif"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3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5" customWidth="1" min="11" max="11"/>
    <col width="15" customWidth="1" min="12" max="12"/>
    <col width="13" customWidth="1" min="13" max="13"/>
  </cols>
  <sheetData>
    <row r="1" ht="30" customHeight="1">
      <c r="A1" s="1" t="inlineStr">
        <is>
          <t>🔄 PLACEMENTS &amp; SUIVI DE L'INSERTION DURABLE</t>
        </is>
      </c>
    </row>
    <row r="2">
      <c r="A2" s="5" t="inlineStr">
        <is>
          <t>Suivre chaque placement jusqu'à 6 mois pour sécuriser l'insertion.</t>
        </is>
      </c>
    </row>
    <row r="4">
      <c r="A4" s="4" t="inlineStr">
        <is>
          <t>Candidat</t>
        </is>
      </c>
      <c r="B4" s="4" t="inlineStr">
        <is>
          <t>Entreprise</t>
        </is>
      </c>
      <c r="C4" s="4" t="inlineStr">
        <is>
          <t>Poste</t>
        </is>
      </c>
      <c r="D4" s="4" t="inlineStr">
        <is>
          <t>Date embauche</t>
        </is>
      </c>
      <c r="E4" s="4" t="inlineStr">
        <is>
          <t>Type contrat</t>
        </is>
      </c>
      <c r="F4" s="4" t="inlineStr">
        <is>
          <t>Suivi J+7</t>
        </is>
      </c>
      <c r="G4" s="4" t="inlineStr">
        <is>
          <t>Suivi M1</t>
        </is>
      </c>
      <c r="H4" s="4" t="inlineStr">
        <is>
          <t>Suivi M3</t>
        </is>
      </c>
      <c r="I4" s="4" t="inlineStr">
        <is>
          <t>Suivi M6</t>
        </is>
      </c>
      <c r="J4" s="4" t="inlineStr">
        <is>
          <t>Maintien 6 mois</t>
        </is>
      </c>
      <c r="K4" s="4" t="inlineStr">
        <is>
          <t>Satisf. candidat /10</t>
        </is>
      </c>
      <c r="L4" s="4" t="inlineStr">
        <is>
          <t>Satisf. entreprise /10</t>
        </is>
      </c>
      <c r="M4" s="4" t="inlineStr">
        <is>
          <t>Risque rupture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</row>
  </sheetData>
  <mergeCells count="2">
    <mergeCell ref="A2:M2"/>
    <mergeCell ref="A1:M1"/>
  </mergeCells>
  <dataValidations count="4">
    <dataValidation sqref="J5:J54" showDropDown="0" showInputMessage="0" showErrorMessage="0" allowBlank="1" type="list">
      <formula1>"Oui,Non,En cours"</formula1>
    </dataValidation>
    <dataValidation sqref="E5:E54" showDropDown="0" showInputMessage="0" showErrorMessage="0" allowBlank="1" type="list">
      <formula1>"CDI,CDD,Alternance,Intérim,Insertion,Stage"</formula1>
    </dataValidation>
    <dataValidation sqref="M5:M54" showDropDown="0" showInputMessage="0" showErrorMessage="0" allowBlank="1" type="list">
      <formula1>"Faible,Moyen,Élevé"</formula1>
    </dataValidation>
    <dataValidation sqref="F5:F54 G5:G54 H5:H54 I5:I54" showDropDown="0" showInputMessage="0" showErrorMessage="0" allowBlank="1" type="list">
      <formula1>"Fait,À faire,RAS"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8" customWidth="1" min="4" max="4"/>
    <col width="11" customWidth="1" min="5" max="5"/>
    <col width="22" customWidth="1" min="6" max="6"/>
    <col width="16" customWidth="1" min="7" max="7"/>
    <col width="12" customWidth="1" min="8" max="8"/>
    <col width="15" customWidth="1" min="9" max="9"/>
    <col width="14" customWidth="1" min="10" max="10"/>
    <col width="13" customWidth="1" min="11" max="11"/>
    <col width="11" customWidth="1" min="12" max="12"/>
    <col width="16" customWidth="1" min="13" max="13"/>
    <col width="12" customWidth="1" min="14" max="14"/>
    <col width="13" customWidth="1" min="15" max="15"/>
    <col width="18" customWidth="1" min="16" max="16"/>
  </cols>
  <sheetData>
    <row r="1" ht="30" customHeight="1">
      <c r="A1" s="16" t="inlineStr">
        <is>
          <t>👥 PORTEFEUILLE DES BÉNÉFICIAIRES</t>
        </is>
      </c>
    </row>
    <row r="2">
      <c r="A2" s="17" t="inlineStr">
        <is>
          <t>Une ligne par personne accompagnée. Cellules grises = calcul automatique. Ces données alimentent les onglets Cohortes et Équité.</t>
        </is>
      </c>
    </row>
    <row r="4" ht="42" customHeight="1">
      <c r="A4" s="18" t="inlineStr">
        <is>
          <t>N° dossier</t>
        </is>
      </c>
      <c r="B4" s="18" t="inlineStr">
        <is>
          <t>Date d'entrée</t>
        </is>
      </c>
      <c r="C4" s="18" t="inlineStr">
        <is>
          <t>Mois d'entrée (auto)</t>
        </is>
      </c>
      <c r="D4" s="18" t="inlineStr">
        <is>
          <t>Genre</t>
        </is>
      </c>
      <c r="E4" s="18" t="inlineStr">
        <is>
          <t>Tranche d'âge</t>
        </is>
      </c>
      <c r="F4" s="18" t="inlineStr">
        <is>
          <t>Public</t>
        </is>
      </c>
      <c r="G4" s="18" t="inlineStr">
        <is>
          <t>Niveau d'études</t>
        </is>
      </c>
      <c r="H4" s="18" t="inlineStr">
        <is>
          <t>Zone</t>
        </is>
      </c>
      <c r="I4" s="18" t="inlineStr">
        <is>
          <t>Mode d'accompagnement</t>
        </is>
      </c>
      <c r="J4" s="18" t="inlineStr">
        <is>
          <t>Conseiller</t>
        </is>
      </c>
      <c r="K4" s="18" t="inlineStr">
        <is>
          <t>Date de placement</t>
        </is>
      </c>
      <c r="L4" s="18" t="inlineStr">
        <is>
          <t>Délai (jours, auto)</t>
        </is>
      </c>
      <c r="M4" s="18" t="inlineStr">
        <is>
          <t>Type de contrat</t>
        </is>
      </c>
      <c r="N4" s="18" t="inlineStr">
        <is>
          <t>En emploi à 6 mois</t>
        </is>
      </c>
      <c r="O4" s="18" t="inlineStr">
        <is>
          <t>Date de sortie</t>
        </is>
      </c>
      <c r="P4" s="18" t="inlineStr">
        <is>
          <t>Motif de sortie</t>
        </is>
      </c>
    </row>
    <row r="5">
      <c r="A5" s="19" t="n"/>
      <c r="B5" s="20" t="n"/>
      <c r="C5" s="21">
        <f>IF(B5="","",DATE(YEAR(B5),MONTH(B5),1))</f>
        <v/>
      </c>
      <c r="D5" s="19" t="n"/>
      <c r="E5" s="19" t="n"/>
      <c r="F5" s="19" t="n"/>
      <c r="G5" s="19" t="n"/>
      <c r="H5" s="19" t="n"/>
      <c r="I5" s="19" t="n"/>
      <c r="J5" s="19" t="n"/>
      <c r="K5" s="20" t="n"/>
      <c r="L5" s="22">
        <f>IF(OR(B5="",K5=""),"",K5-B5)</f>
        <v/>
      </c>
      <c r="M5" s="19" t="n"/>
      <c r="N5" s="19" t="n"/>
      <c r="O5" s="20" t="n"/>
      <c r="P5" s="19" t="n"/>
    </row>
    <row r="6">
      <c r="A6" s="19" t="n"/>
      <c r="B6" s="20" t="n"/>
      <c r="C6" s="21">
        <f>IF(B6="","",DATE(YEAR(B6),MONTH(B6),1))</f>
        <v/>
      </c>
      <c r="D6" s="19" t="n"/>
      <c r="E6" s="19" t="n"/>
      <c r="F6" s="19" t="n"/>
      <c r="G6" s="19" t="n"/>
      <c r="H6" s="19" t="n"/>
      <c r="I6" s="19" t="n"/>
      <c r="J6" s="19" t="n"/>
      <c r="K6" s="20" t="n"/>
      <c r="L6" s="22">
        <f>IF(OR(B6="",K6=""),"",K6-B6)</f>
        <v/>
      </c>
      <c r="M6" s="19" t="n"/>
      <c r="N6" s="19" t="n"/>
      <c r="O6" s="20" t="n"/>
      <c r="P6" s="19" t="n"/>
    </row>
    <row r="7">
      <c r="A7" s="19" t="n"/>
      <c r="B7" s="20" t="n"/>
      <c r="C7" s="21">
        <f>IF(B7="","",DATE(YEAR(B7),MONTH(B7),1))</f>
        <v/>
      </c>
      <c r="D7" s="19" t="n"/>
      <c r="E7" s="19" t="n"/>
      <c r="F7" s="19" t="n"/>
      <c r="G7" s="19" t="n"/>
      <c r="H7" s="19" t="n"/>
      <c r="I7" s="19" t="n"/>
      <c r="J7" s="19" t="n"/>
      <c r="K7" s="20" t="n"/>
      <c r="L7" s="22">
        <f>IF(OR(B7="",K7=""),"",K7-B7)</f>
        <v/>
      </c>
      <c r="M7" s="19" t="n"/>
      <c r="N7" s="19" t="n"/>
      <c r="O7" s="20" t="n"/>
      <c r="P7" s="19" t="n"/>
    </row>
    <row r="8">
      <c r="A8" s="19" t="n"/>
      <c r="B8" s="20" t="n"/>
      <c r="C8" s="21">
        <f>IF(B8="","",DATE(YEAR(B8),MONTH(B8),1))</f>
        <v/>
      </c>
      <c r="D8" s="19" t="n"/>
      <c r="E8" s="19" t="n"/>
      <c r="F8" s="19" t="n"/>
      <c r="G8" s="19" t="n"/>
      <c r="H8" s="19" t="n"/>
      <c r="I8" s="19" t="n"/>
      <c r="J8" s="19" t="n"/>
      <c r="K8" s="20" t="n"/>
      <c r="L8" s="22">
        <f>IF(OR(B8="",K8=""),"",K8-B8)</f>
        <v/>
      </c>
      <c r="M8" s="19" t="n"/>
      <c r="N8" s="19" t="n"/>
      <c r="O8" s="20" t="n"/>
      <c r="P8" s="19" t="n"/>
    </row>
    <row r="9">
      <c r="A9" s="19" t="n"/>
      <c r="B9" s="20" t="n"/>
      <c r="C9" s="21">
        <f>IF(B9="","",DATE(YEAR(B9),MONTH(B9),1))</f>
        <v/>
      </c>
      <c r="D9" s="19" t="n"/>
      <c r="E9" s="19" t="n"/>
      <c r="F9" s="19" t="n"/>
      <c r="G9" s="19" t="n"/>
      <c r="H9" s="19" t="n"/>
      <c r="I9" s="19" t="n"/>
      <c r="J9" s="19" t="n"/>
      <c r="K9" s="20" t="n"/>
      <c r="L9" s="22">
        <f>IF(OR(B9="",K9=""),"",K9-B9)</f>
        <v/>
      </c>
      <c r="M9" s="19" t="n"/>
      <c r="N9" s="19" t="n"/>
      <c r="O9" s="20" t="n"/>
      <c r="P9" s="19" t="n"/>
    </row>
    <row r="10">
      <c r="A10" s="19" t="n"/>
      <c r="B10" s="20" t="n"/>
      <c r="C10" s="21">
        <f>IF(B10="","",DATE(YEAR(B10),MONTH(B10),1))</f>
        <v/>
      </c>
      <c r="D10" s="19" t="n"/>
      <c r="E10" s="19" t="n"/>
      <c r="F10" s="19" t="n"/>
      <c r="G10" s="19" t="n"/>
      <c r="H10" s="19" t="n"/>
      <c r="I10" s="19" t="n"/>
      <c r="J10" s="19" t="n"/>
      <c r="K10" s="20" t="n"/>
      <c r="L10" s="22">
        <f>IF(OR(B10="",K10=""),"",K10-B10)</f>
        <v/>
      </c>
      <c r="M10" s="19" t="n"/>
      <c r="N10" s="19" t="n"/>
      <c r="O10" s="20" t="n"/>
      <c r="P10" s="19" t="n"/>
    </row>
    <row r="11">
      <c r="A11" s="19" t="n"/>
      <c r="B11" s="20" t="n"/>
      <c r="C11" s="21">
        <f>IF(B11="","",DATE(YEAR(B11),MONTH(B11),1))</f>
        <v/>
      </c>
      <c r="D11" s="19" t="n"/>
      <c r="E11" s="19" t="n"/>
      <c r="F11" s="19" t="n"/>
      <c r="G11" s="19" t="n"/>
      <c r="H11" s="19" t="n"/>
      <c r="I11" s="19" t="n"/>
      <c r="J11" s="19" t="n"/>
      <c r="K11" s="20" t="n"/>
      <c r="L11" s="22">
        <f>IF(OR(B11="",K11=""),"",K11-B11)</f>
        <v/>
      </c>
      <c r="M11" s="19" t="n"/>
      <c r="N11" s="19" t="n"/>
      <c r="O11" s="20" t="n"/>
      <c r="P11" s="19" t="n"/>
    </row>
    <row r="12">
      <c r="A12" s="19" t="n"/>
      <c r="B12" s="20" t="n"/>
      <c r="C12" s="21">
        <f>IF(B12="","",DATE(YEAR(B12),MONTH(B12),1))</f>
        <v/>
      </c>
      <c r="D12" s="19" t="n"/>
      <c r="E12" s="19" t="n"/>
      <c r="F12" s="19" t="n"/>
      <c r="G12" s="19" t="n"/>
      <c r="H12" s="19" t="n"/>
      <c r="I12" s="19" t="n"/>
      <c r="J12" s="19" t="n"/>
      <c r="K12" s="20" t="n"/>
      <c r="L12" s="22">
        <f>IF(OR(B12="",K12=""),"",K12-B12)</f>
        <v/>
      </c>
      <c r="M12" s="19" t="n"/>
      <c r="N12" s="19" t="n"/>
      <c r="O12" s="20" t="n"/>
      <c r="P12" s="19" t="n"/>
    </row>
    <row r="13">
      <c r="A13" s="19" t="n"/>
      <c r="B13" s="20" t="n"/>
      <c r="C13" s="21">
        <f>IF(B13="","",DATE(YEAR(B13),MONTH(B13),1))</f>
        <v/>
      </c>
      <c r="D13" s="19" t="n"/>
      <c r="E13" s="19" t="n"/>
      <c r="F13" s="19" t="n"/>
      <c r="G13" s="19" t="n"/>
      <c r="H13" s="19" t="n"/>
      <c r="I13" s="19" t="n"/>
      <c r="J13" s="19" t="n"/>
      <c r="K13" s="20" t="n"/>
      <c r="L13" s="22">
        <f>IF(OR(B13="",K13=""),"",K13-B13)</f>
        <v/>
      </c>
      <c r="M13" s="19" t="n"/>
      <c r="N13" s="19" t="n"/>
      <c r="O13" s="20" t="n"/>
      <c r="P13" s="19" t="n"/>
    </row>
    <row r="14">
      <c r="A14" s="19" t="n"/>
      <c r="B14" s="20" t="n"/>
      <c r="C14" s="21">
        <f>IF(B14="","",DATE(YEAR(B14),MONTH(B14),1))</f>
        <v/>
      </c>
      <c r="D14" s="19" t="n"/>
      <c r="E14" s="19" t="n"/>
      <c r="F14" s="19" t="n"/>
      <c r="G14" s="19" t="n"/>
      <c r="H14" s="19" t="n"/>
      <c r="I14" s="19" t="n"/>
      <c r="J14" s="19" t="n"/>
      <c r="K14" s="20" t="n"/>
      <c r="L14" s="22">
        <f>IF(OR(B14="",K14=""),"",K14-B14)</f>
        <v/>
      </c>
      <c r="M14" s="19" t="n"/>
      <c r="N14" s="19" t="n"/>
      <c r="O14" s="20" t="n"/>
      <c r="P14" s="19" t="n"/>
    </row>
    <row r="15">
      <c r="A15" s="19" t="n"/>
      <c r="B15" s="20" t="n"/>
      <c r="C15" s="21">
        <f>IF(B15="","",DATE(YEAR(B15),MONTH(B15),1))</f>
        <v/>
      </c>
      <c r="D15" s="19" t="n"/>
      <c r="E15" s="19" t="n"/>
      <c r="F15" s="19" t="n"/>
      <c r="G15" s="19" t="n"/>
      <c r="H15" s="19" t="n"/>
      <c r="I15" s="19" t="n"/>
      <c r="J15" s="19" t="n"/>
      <c r="K15" s="20" t="n"/>
      <c r="L15" s="22">
        <f>IF(OR(B15="",K15=""),"",K15-B15)</f>
        <v/>
      </c>
      <c r="M15" s="19" t="n"/>
      <c r="N15" s="19" t="n"/>
      <c r="O15" s="20" t="n"/>
      <c r="P15" s="19" t="n"/>
    </row>
    <row r="16">
      <c r="A16" s="19" t="n"/>
      <c r="B16" s="20" t="n"/>
      <c r="C16" s="21">
        <f>IF(B16="","",DATE(YEAR(B16),MONTH(B16),1))</f>
        <v/>
      </c>
      <c r="D16" s="19" t="n"/>
      <c r="E16" s="19" t="n"/>
      <c r="F16" s="19" t="n"/>
      <c r="G16" s="19" t="n"/>
      <c r="H16" s="19" t="n"/>
      <c r="I16" s="19" t="n"/>
      <c r="J16" s="19" t="n"/>
      <c r="K16" s="20" t="n"/>
      <c r="L16" s="22">
        <f>IF(OR(B16="",K16=""),"",K16-B16)</f>
        <v/>
      </c>
      <c r="M16" s="19" t="n"/>
      <c r="N16" s="19" t="n"/>
      <c r="O16" s="20" t="n"/>
      <c r="P16" s="19" t="n"/>
    </row>
    <row r="17">
      <c r="A17" s="19" t="n"/>
      <c r="B17" s="20" t="n"/>
      <c r="C17" s="21">
        <f>IF(B17="","",DATE(YEAR(B17),MONTH(B17),1))</f>
        <v/>
      </c>
      <c r="D17" s="19" t="n"/>
      <c r="E17" s="19" t="n"/>
      <c r="F17" s="19" t="n"/>
      <c r="G17" s="19" t="n"/>
      <c r="H17" s="19" t="n"/>
      <c r="I17" s="19" t="n"/>
      <c r="J17" s="19" t="n"/>
      <c r="K17" s="20" t="n"/>
      <c r="L17" s="22">
        <f>IF(OR(B17="",K17=""),"",K17-B17)</f>
        <v/>
      </c>
      <c r="M17" s="19" t="n"/>
      <c r="N17" s="19" t="n"/>
      <c r="O17" s="20" t="n"/>
      <c r="P17" s="19" t="n"/>
    </row>
    <row r="18">
      <c r="A18" s="19" t="n"/>
      <c r="B18" s="20" t="n"/>
      <c r="C18" s="21">
        <f>IF(B18="","",DATE(YEAR(B18),MONTH(B18),1))</f>
        <v/>
      </c>
      <c r="D18" s="19" t="n"/>
      <c r="E18" s="19" t="n"/>
      <c r="F18" s="19" t="n"/>
      <c r="G18" s="19" t="n"/>
      <c r="H18" s="19" t="n"/>
      <c r="I18" s="19" t="n"/>
      <c r="J18" s="19" t="n"/>
      <c r="K18" s="20" t="n"/>
      <c r="L18" s="22">
        <f>IF(OR(B18="",K18=""),"",K18-B18)</f>
        <v/>
      </c>
      <c r="M18" s="19" t="n"/>
      <c r="N18" s="19" t="n"/>
      <c r="O18" s="20" t="n"/>
      <c r="P18" s="19" t="n"/>
    </row>
    <row r="19">
      <c r="A19" s="19" t="n"/>
      <c r="B19" s="20" t="n"/>
      <c r="C19" s="21">
        <f>IF(B19="","",DATE(YEAR(B19),MONTH(B19),1))</f>
        <v/>
      </c>
      <c r="D19" s="19" t="n"/>
      <c r="E19" s="19" t="n"/>
      <c r="F19" s="19" t="n"/>
      <c r="G19" s="19" t="n"/>
      <c r="H19" s="19" t="n"/>
      <c r="I19" s="19" t="n"/>
      <c r="J19" s="19" t="n"/>
      <c r="K19" s="20" t="n"/>
      <c r="L19" s="22">
        <f>IF(OR(B19="",K19=""),"",K19-B19)</f>
        <v/>
      </c>
      <c r="M19" s="19" t="n"/>
      <c r="N19" s="19" t="n"/>
      <c r="O19" s="20" t="n"/>
      <c r="P19" s="19" t="n"/>
    </row>
    <row r="20">
      <c r="A20" s="19" t="n"/>
      <c r="B20" s="20" t="n"/>
      <c r="C20" s="21">
        <f>IF(B20="","",DATE(YEAR(B20),MONTH(B20),1))</f>
        <v/>
      </c>
      <c r="D20" s="19" t="n"/>
      <c r="E20" s="19" t="n"/>
      <c r="F20" s="19" t="n"/>
      <c r="G20" s="19" t="n"/>
      <c r="H20" s="19" t="n"/>
      <c r="I20" s="19" t="n"/>
      <c r="J20" s="19" t="n"/>
      <c r="K20" s="20" t="n"/>
      <c r="L20" s="22">
        <f>IF(OR(B20="",K20=""),"",K20-B20)</f>
        <v/>
      </c>
      <c r="M20" s="19" t="n"/>
      <c r="N20" s="19" t="n"/>
      <c r="O20" s="20" t="n"/>
      <c r="P20" s="19" t="n"/>
    </row>
    <row r="21">
      <c r="A21" s="19" t="n"/>
      <c r="B21" s="20" t="n"/>
      <c r="C21" s="21">
        <f>IF(B21="","",DATE(YEAR(B21),MONTH(B21),1))</f>
        <v/>
      </c>
      <c r="D21" s="19" t="n"/>
      <c r="E21" s="19" t="n"/>
      <c r="F21" s="19" t="n"/>
      <c r="G21" s="19" t="n"/>
      <c r="H21" s="19" t="n"/>
      <c r="I21" s="19" t="n"/>
      <c r="J21" s="19" t="n"/>
      <c r="K21" s="20" t="n"/>
      <c r="L21" s="22">
        <f>IF(OR(B21="",K21=""),"",K21-B21)</f>
        <v/>
      </c>
      <c r="M21" s="19" t="n"/>
      <c r="N21" s="19" t="n"/>
      <c r="O21" s="20" t="n"/>
      <c r="P21" s="19" t="n"/>
    </row>
    <row r="22">
      <c r="A22" s="19" t="n"/>
      <c r="B22" s="20" t="n"/>
      <c r="C22" s="21">
        <f>IF(B22="","",DATE(YEAR(B22),MONTH(B22),1))</f>
        <v/>
      </c>
      <c r="D22" s="19" t="n"/>
      <c r="E22" s="19" t="n"/>
      <c r="F22" s="19" t="n"/>
      <c r="G22" s="19" t="n"/>
      <c r="H22" s="19" t="n"/>
      <c r="I22" s="19" t="n"/>
      <c r="J22" s="19" t="n"/>
      <c r="K22" s="20" t="n"/>
      <c r="L22" s="22">
        <f>IF(OR(B22="",K22=""),"",K22-B22)</f>
        <v/>
      </c>
      <c r="M22" s="19" t="n"/>
      <c r="N22" s="19" t="n"/>
      <c r="O22" s="20" t="n"/>
      <c r="P22" s="19" t="n"/>
    </row>
    <row r="23">
      <c r="A23" s="19" t="n"/>
      <c r="B23" s="20" t="n"/>
      <c r="C23" s="21">
        <f>IF(B23="","",DATE(YEAR(B23),MONTH(B23),1))</f>
        <v/>
      </c>
      <c r="D23" s="19" t="n"/>
      <c r="E23" s="19" t="n"/>
      <c r="F23" s="19" t="n"/>
      <c r="G23" s="19" t="n"/>
      <c r="H23" s="19" t="n"/>
      <c r="I23" s="19" t="n"/>
      <c r="J23" s="19" t="n"/>
      <c r="K23" s="20" t="n"/>
      <c r="L23" s="22">
        <f>IF(OR(B23="",K23=""),"",K23-B23)</f>
        <v/>
      </c>
      <c r="M23" s="19" t="n"/>
      <c r="N23" s="19" t="n"/>
      <c r="O23" s="20" t="n"/>
      <c r="P23" s="19" t="n"/>
    </row>
    <row r="24">
      <c r="A24" s="19" t="n"/>
      <c r="B24" s="20" t="n"/>
      <c r="C24" s="21">
        <f>IF(B24="","",DATE(YEAR(B24),MONTH(B24),1))</f>
        <v/>
      </c>
      <c r="D24" s="19" t="n"/>
      <c r="E24" s="19" t="n"/>
      <c r="F24" s="19" t="n"/>
      <c r="G24" s="19" t="n"/>
      <c r="H24" s="19" t="n"/>
      <c r="I24" s="19" t="n"/>
      <c r="J24" s="19" t="n"/>
      <c r="K24" s="20" t="n"/>
      <c r="L24" s="22">
        <f>IF(OR(B24="",K24=""),"",K24-B24)</f>
        <v/>
      </c>
      <c r="M24" s="19" t="n"/>
      <c r="N24" s="19" t="n"/>
      <c r="O24" s="20" t="n"/>
      <c r="P24" s="19" t="n"/>
    </row>
    <row r="25">
      <c r="A25" s="19" t="n"/>
      <c r="B25" s="20" t="n"/>
      <c r="C25" s="21">
        <f>IF(B25="","",DATE(YEAR(B25),MONTH(B25),1))</f>
        <v/>
      </c>
      <c r="D25" s="19" t="n"/>
      <c r="E25" s="19" t="n"/>
      <c r="F25" s="19" t="n"/>
      <c r="G25" s="19" t="n"/>
      <c r="H25" s="19" t="n"/>
      <c r="I25" s="19" t="n"/>
      <c r="J25" s="19" t="n"/>
      <c r="K25" s="20" t="n"/>
      <c r="L25" s="22">
        <f>IF(OR(B25="",K25=""),"",K25-B25)</f>
        <v/>
      </c>
      <c r="M25" s="19" t="n"/>
      <c r="N25" s="19" t="n"/>
      <c r="O25" s="20" t="n"/>
      <c r="P25" s="19" t="n"/>
    </row>
    <row r="26">
      <c r="A26" s="19" t="n"/>
      <c r="B26" s="20" t="n"/>
      <c r="C26" s="21">
        <f>IF(B26="","",DATE(YEAR(B26),MONTH(B26),1))</f>
        <v/>
      </c>
      <c r="D26" s="19" t="n"/>
      <c r="E26" s="19" t="n"/>
      <c r="F26" s="19" t="n"/>
      <c r="G26" s="19" t="n"/>
      <c r="H26" s="19" t="n"/>
      <c r="I26" s="19" t="n"/>
      <c r="J26" s="19" t="n"/>
      <c r="K26" s="20" t="n"/>
      <c r="L26" s="22">
        <f>IF(OR(B26="",K26=""),"",K26-B26)</f>
        <v/>
      </c>
      <c r="M26" s="19" t="n"/>
      <c r="N26" s="19" t="n"/>
      <c r="O26" s="20" t="n"/>
      <c r="P26" s="19" t="n"/>
    </row>
    <row r="27">
      <c r="A27" s="19" t="n"/>
      <c r="B27" s="20" t="n"/>
      <c r="C27" s="21">
        <f>IF(B27="","",DATE(YEAR(B27),MONTH(B27),1))</f>
        <v/>
      </c>
      <c r="D27" s="19" t="n"/>
      <c r="E27" s="19" t="n"/>
      <c r="F27" s="19" t="n"/>
      <c r="G27" s="19" t="n"/>
      <c r="H27" s="19" t="n"/>
      <c r="I27" s="19" t="n"/>
      <c r="J27" s="19" t="n"/>
      <c r="K27" s="20" t="n"/>
      <c r="L27" s="22">
        <f>IF(OR(B27="",K27=""),"",K27-B27)</f>
        <v/>
      </c>
      <c r="M27" s="19" t="n"/>
      <c r="N27" s="19" t="n"/>
      <c r="O27" s="20" t="n"/>
      <c r="P27" s="19" t="n"/>
    </row>
    <row r="28">
      <c r="A28" s="19" t="n"/>
      <c r="B28" s="20" t="n"/>
      <c r="C28" s="21">
        <f>IF(B28="","",DATE(YEAR(B28),MONTH(B28),1))</f>
        <v/>
      </c>
      <c r="D28" s="19" t="n"/>
      <c r="E28" s="19" t="n"/>
      <c r="F28" s="19" t="n"/>
      <c r="G28" s="19" t="n"/>
      <c r="H28" s="19" t="n"/>
      <c r="I28" s="19" t="n"/>
      <c r="J28" s="19" t="n"/>
      <c r="K28" s="20" t="n"/>
      <c r="L28" s="22">
        <f>IF(OR(B28="",K28=""),"",K28-B28)</f>
        <v/>
      </c>
      <c r="M28" s="19" t="n"/>
      <c r="N28" s="19" t="n"/>
      <c r="O28" s="20" t="n"/>
      <c r="P28" s="19" t="n"/>
    </row>
    <row r="29">
      <c r="A29" s="19" t="n"/>
      <c r="B29" s="20" t="n"/>
      <c r="C29" s="21">
        <f>IF(B29="","",DATE(YEAR(B29),MONTH(B29),1))</f>
        <v/>
      </c>
      <c r="D29" s="19" t="n"/>
      <c r="E29" s="19" t="n"/>
      <c r="F29" s="19" t="n"/>
      <c r="G29" s="19" t="n"/>
      <c r="H29" s="19" t="n"/>
      <c r="I29" s="19" t="n"/>
      <c r="J29" s="19" t="n"/>
      <c r="K29" s="20" t="n"/>
      <c r="L29" s="22">
        <f>IF(OR(B29="",K29=""),"",K29-B29)</f>
        <v/>
      </c>
      <c r="M29" s="19" t="n"/>
      <c r="N29" s="19" t="n"/>
      <c r="O29" s="20" t="n"/>
      <c r="P29" s="19" t="n"/>
    </row>
    <row r="30">
      <c r="A30" s="19" t="n"/>
      <c r="B30" s="20" t="n"/>
      <c r="C30" s="21">
        <f>IF(B30="","",DATE(YEAR(B30),MONTH(B30),1))</f>
        <v/>
      </c>
      <c r="D30" s="19" t="n"/>
      <c r="E30" s="19" t="n"/>
      <c r="F30" s="19" t="n"/>
      <c r="G30" s="19" t="n"/>
      <c r="H30" s="19" t="n"/>
      <c r="I30" s="19" t="n"/>
      <c r="J30" s="19" t="n"/>
      <c r="K30" s="20" t="n"/>
      <c r="L30" s="22">
        <f>IF(OR(B30="",K30=""),"",K30-B30)</f>
        <v/>
      </c>
      <c r="M30" s="19" t="n"/>
      <c r="N30" s="19" t="n"/>
      <c r="O30" s="20" t="n"/>
      <c r="P30" s="19" t="n"/>
    </row>
    <row r="31">
      <c r="A31" s="19" t="n"/>
      <c r="B31" s="20" t="n"/>
      <c r="C31" s="21">
        <f>IF(B31="","",DATE(YEAR(B31),MONTH(B31),1))</f>
        <v/>
      </c>
      <c r="D31" s="19" t="n"/>
      <c r="E31" s="19" t="n"/>
      <c r="F31" s="19" t="n"/>
      <c r="G31" s="19" t="n"/>
      <c r="H31" s="19" t="n"/>
      <c r="I31" s="19" t="n"/>
      <c r="J31" s="19" t="n"/>
      <c r="K31" s="20" t="n"/>
      <c r="L31" s="22">
        <f>IF(OR(B31="",K31=""),"",K31-B31)</f>
        <v/>
      </c>
      <c r="M31" s="19" t="n"/>
      <c r="N31" s="19" t="n"/>
      <c r="O31" s="20" t="n"/>
      <c r="P31" s="19" t="n"/>
    </row>
    <row r="32">
      <c r="A32" s="19" t="n"/>
      <c r="B32" s="20" t="n"/>
      <c r="C32" s="21">
        <f>IF(B32="","",DATE(YEAR(B32),MONTH(B32),1))</f>
        <v/>
      </c>
      <c r="D32" s="19" t="n"/>
      <c r="E32" s="19" t="n"/>
      <c r="F32" s="19" t="n"/>
      <c r="G32" s="19" t="n"/>
      <c r="H32" s="19" t="n"/>
      <c r="I32" s="19" t="n"/>
      <c r="J32" s="19" t="n"/>
      <c r="K32" s="20" t="n"/>
      <c r="L32" s="22">
        <f>IF(OR(B32="",K32=""),"",K32-B32)</f>
        <v/>
      </c>
      <c r="M32" s="19" t="n"/>
      <c r="N32" s="19" t="n"/>
      <c r="O32" s="20" t="n"/>
      <c r="P32" s="19" t="n"/>
    </row>
    <row r="33">
      <c r="A33" s="19" t="n"/>
      <c r="B33" s="20" t="n"/>
      <c r="C33" s="21">
        <f>IF(B33="","",DATE(YEAR(B33),MONTH(B33),1))</f>
        <v/>
      </c>
      <c r="D33" s="19" t="n"/>
      <c r="E33" s="19" t="n"/>
      <c r="F33" s="19" t="n"/>
      <c r="G33" s="19" t="n"/>
      <c r="H33" s="19" t="n"/>
      <c r="I33" s="19" t="n"/>
      <c r="J33" s="19" t="n"/>
      <c r="K33" s="20" t="n"/>
      <c r="L33" s="22">
        <f>IF(OR(B33="",K33=""),"",K33-B33)</f>
        <v/>
      </c>
      <c r="M33" s="19" t="n"/>
      <c r="N33" s="19" t="n"/>
      <c r="O33" s="20" t="n"/>
      <c r="P33" s="19" t="n"/>
    </row>
    <row r="34">
      <c r="A34" s="19" t="n"/>
      <c r="B34" s="20" t="n"/>
      <c r="C34" s="21">
        <f>IF(B34="","",DATE(YEAR(B34),MONTH(B34),1))</f>
        <v/>
      </c>
      <c r="D34" s="19" t="n"/>
      <c r="E34" s="19" t="n"/>
      <c r="F34" s="19" t="n"/>
      <c r="G34" s="19" t="n"/>
      <c r="H34" s="19" t="n"/>
      <c r="I34" s="19" t="n"/>
      <c r="J34" s="19" t="n"/>
      <c r="K34" s="20" t="n"/>
      <c r="L34" s="22">
        <f>IF(OR(B34="",K34=""),"",K34-B34)</f>
        <v/>
      </c>
      <c r="M34" s="19" t="n"/>
      <c r="N34" s="19" t="n"/>
      <c r="O34" s="20" t="n"/>
      <c r="P34" s="19" t="n"/>
    </row>
    <row r="35">
      <c r="A35" s="19" t="n"/>
      <c r="B35" s="20" t="n"/>
      <c r="C35" s="21">
        <f>IF(B35="","",DATE(YEAR(B35),MONTH(B35),1))</f>
        <v/>
      </c>
      <c r="D35" s="19" t="n"/>
      <c r="E35" s="19" t="n"/>
      <c r="F35" s="19" t="n"/>
      <c r="G35" s="19" t="n"/>
      <c r="H35" s="19" t="n"/>
      <c r="I35" s="19" t="n"/>
      <c r="J35" s="19" t="n"/>
      <c r="K35" s="20" t="n"/>
      <c r="L35" s="22">
        <f>IF(OR(B35="",K35=""),"",K35-B35)</f>
        <v/>
      </c>
      <c r="M35" s="19" t="n"/>
      <c r="N35" s="19" t="n"/>
      <c r="O35" s="20" t="n"/>
      <c r="P35" s="19" t="n"/>
    </row>
    <row r="36">
      <c r="A36" s="19" t="n"/>
      <c r="B36" s="20" t="n"/>
      <c r="C36" s="21">
        <f>IF(B36="","",DATE(YEAR(B36),MONTH(B36),1))</f>
        <v/>
      </c>
      <c r="D36" s="19" t="n"/>
      <c r="E36" s="19" t="n"/>
      <c r="F36" s="19" t="n"/>
      <c r="G36" s="19" t="n"/>
      <c r="H36" s="19" t="n"/>
      <c r="I36" s="19" t="n"/>
      <c r="J36" s="19" t="n"/>
      <c r="K36" s="20" t="n"/>
      <c r="L36" s="22">
        <f>IF(OR(B36="",K36=""),"",K36-B36)</f>
        <v/>
      </c>
      <c r="M36" s="19" t="n"/>
      <c r="N36" s="19" t="n"/>
      <c r="O36" s="20" t="n"/>
      <c r="P36" s="19" t="n"/>
    </row>
    <row r="37">
      <c r="A37" s="19" t="n"/>
      <c r="B37" s="20" t="n"/>
      <c r="C37" s="21">
        <f>IF(B37="","",DATE(YEAR(B37),MONTH(B37),1))</f>
        <v/>
      </c>
      <c r="D37" s="19" t="n"/>
      <c r="E37" s="19" t="n"/>
      <c r="F37" s="19" t="n"/>
      <c r="G37" s="19" t="n"/>
      <c r="H37" s="19" t="n"/>
      <c r="I37" s="19" t="n"/>
      <c r="J37" s="19" t="n"/>
      <c r="K37" s="20" t="n"/>
      <c r="L37" s="22">
        <f>IF(OR(B37="",K37=""),"",K37-B37)</f>
        <v/>
      </c>
      <c r="M37" s="19" t="n"/>
      <c r="N37" s="19" t="n"/>
      <c r="O37" s="20" t="n"/>
      <c r="P37" s="19" t="n"/>
    </row>
    <row r="38">
      <c r="A38" s="19" t="n"/>
      <c r="B38" s="20" t="n"/>
      <c r="C38" s="21">
        <f>IF(B38="","",DATE(YEAR(B38),MONTH(B38),1))</f>
        <v/>
      </c>
      <c r="D38" s="19" t="n"/>
      <c r="E38" s="19" t="n"/>
      <c r="F38" s="19" t="n"/>
      <c r="G38" s="19" t="n"/>
      <c r="H38" s="19" t="n"/>
      <c r="I38" s="19" t="n"/>
      <c r="J38" s="19" t="n"/>
      <c r="K38" s="20" t="n"/>
      <c r="L38" s="22">
        <f>IF(OR(B38="",K38=""),"",K38-B38)</f>
        <v/>
      </c>
      <c r="M38" s="19" t="n"/>
      <c r="N38" s="19" t="n"/>
      <c r="O38" s="20" t="n"/>
      <c r="P38" s="19" t="n"/>
    </row>
    <row r="39">
      <c r="A39" s="19" t="n"/>
      <c r="B39" s="20" t="n"/>
      <c r="C39" s="21">
        <f>IF(B39="","",DATE(YEAR(B39),MONTH(B39),1))</f>
        <v/>
      </c>
      <c r="D39" s="19" t="n"/>
      <c r="E39" s="19" t="n"/>
      <c r="F39" s="19" t="n"/>
      <c r="G39" s="19" t="n"/>
      <c r="H39" s="19" t="n"/>
      <c r="I39" s="19" t="n"/>
      <c r="J39" s="19" t="n"/>
      <c r="K39" s="20" t="n"/>
      <c r="L39" s="22">
        <f>IF(OR(B39="",K39=""),"",K39-B39)</f>
        <v/>
      </c>
      <c r="M39" s="19" t="n"/>
      <c r="N39" s="19" t="n"/>
      <c r="O39" s="20" t="n"/>
      <c r="P39" s="19" t="n"/>
    </row>
    <row r="40">
      <c r="A40" s="19" t="n"/>
      <c r="B40" s="20" t="n"/>
      <c r="C40" s="21">
        <f>IF(B40="","",DATE(YEAR(B40),MONTH(B40),1))</f>
        <v/>
      </c>
      <c r="D40" s="19" t="n"/>
      <c r="E40" s="19" t="n"/>
      <c r="F40" s="19" t="n"/>
      <c r="G40" s="19" t="n"/>
      <c r="H40" s="19" t="n"/>
      <c r="I40" s="19" t="n"/>
      <c r="J40" s="19" t="n"/>
      <c r="K40" s="20" t="n"/>
      <c r="L40" s="22">
        <f>IF(OR(B40="",K40=""),"",K40-B40)</f>
        <v/>
      </c>
      <c r="M40" s="19" t="n"/>
      <c r="N40" s="19" t="n"/>
      <c r="O40" s="20" t="n"/>
      <c r="P40" s="19" t="n"/>
    </row>
    <row r="41">
      <c r="A41" s="19" t="n"/>
      <c r="B41" s="20" t="n"/>
      <c r="C41" s="21">
        <f>IF(B41="","",DATE(YEAR(B41),MONTH(B41),1))</f>
        <v/>
      </c>
      <c r="D41" s="19" t="n"/>
      <c r="E41" s="19" t="n"/>
      <c r="F41" s="19" t="n"/>
      <c r="G41" s="19" t="n"/>
      <c r="H41" s="19" t="n"/>
      <c r="I41" s="19" t="n"/>
      <c r="J41" s="19" t="n"/>
      <c r="K41" s="20" t="n"/>
      <c r="L41" s="22">
        <f>IF(OR(B41="",K41=""),"",K41-B41)</f>
        <v/>
      </c>
      <c r="M41" s="19" t="n"/>
      <c r="N41" s="19" t="n"/>
      <c r="O41" s="20" t="n"/>
      <c r="P41" s="19" t="n"/>
    </row>
    <row r="42">
      <c r="A42" s="19" t="n"/>
      <c r="B42" s="20" t="n"/>
      <c r="C42" s="21">
        <f>IF(B42="","",DATE(YEAR(B42),MONTH(B42),1))</f>
        <v/>
      </c>
      <c r="D42" s="19" t="n"/>
      <c r="E42" s="19" t="n"/>
      <c r="F42" s="19" t="n"/>
      <c r="G42" s="19" t="n"/>
      <c r="H42" s="19" t="n"/>
      <c r="I42" s="19" t="n"/>
      <c r="J42" s="19" t="n"/>
      <c r="K42" s="20" t="n"/>
      <c r="L42" s="22">
        <f>IF(OR(B42="",K42=""),"",K42-B42)</f>
        <v/>
      </c>
      <c r="M42" s="19" t="n"/>
      <c r="N42" s="19" t="n"/>
      <c r="O42" s="20" t="n"/>
      <c r="P42" s="19" t="n"/>
    </row>
    <row r="43">
      <c r="A43" s="19" t="n"/>
      <c r="B43" s="20" t="n"/>
      <c r="C43" s="21">
        <f>IF(B43="","",DATE(YEAR(B43),MONTH(B43),1))</f>
        <v/>
      </c>
      <c r="D43" s="19" t="n"/>
      <c r="E43" s="19" t="n"/>
      <c r="F43" s="19" t="n"/>
      <c r="G43" s="19" t="n"/>
      <c r="H43" s="19" t="n"/>
      <c r="I43" s="19" t="n"/>
      <c r="J43" s="19" t="n"/>
      <c r="K43" s="20" t="n"/>
      <c r="L43" s="22">
        <f>IF(OR(B43="",K43=""),"",K43-B43)</f>
        <v/>
      </c>
      <c r="M43" s="19" t="n"/>
      <c r="N43" s="19" t="n"/>
      <c r="O43" s="20" t="n"/>
      <c r="P43" s="19" t="n"/>
    </row>
    <row r="44">
      <c r="A44" s="19" t="n"/>
      <c r="B44" s="20" t="n"/>
      <c r="C44" s="21">
        <f>IF(B44="","",DATE(YEAR(B44),MONTH(B44),1))</f>
        <v/>
      </c>
      <c r="D44" s="19" t="n"/>
      <c r="E44" s="19" t="n"/>
      <c r="F44" s="19" t="n"/>
      <c r="G44" s="19" t="n"/>
      <c r="H44" s="19" t="n"/>
      <c r="I44" s="19" t="n"/>
      <c r="J44" s="19" t="n"/>
      <c r="K44" s="20" t="n"/>
      <c r="L44" s="22">
        <f>IF(OR(B44="",K44=""),"",K44-B44)</f>
        <v/>
      </c>
      <c r="M44" s="19" t="n"/>
      <c r="N44" s="19" t="n"/>
      <c r="O44" s="20" t="n"/>
      <c r="P44" s="19" t="n"/>
    </row>
    <row r="45">
      <c r="A45" s="19" t="n"/>
      <c r="B45" s="20" t="n"/>
      <c r="C45" s="21">
        <f>IF(B45="","",DATE(YEAR(B45),MONTH(B45),1))</f>
        <v/>
      </c>
      <c r="D45" s="19" t="n"/>
      <c r="E45" s="19" t="n"/>
      <c r="F45" s="19" t="n"/>
      <c r="G45" s="19" t="n"/>
      <c r="H45" s="19" t="n"/>
      <c r="I45" s="19" t="n"/>
      <c r="J45" s="19" t="n"/>
      <c r="K45" s="20" t="n"/>
      <c r="L45" s="22">
        <f>IF(OR(B45="",K45=""),"",K45-B45)</f>
        <v/>
      </c>
      <c r="M45" s="19" t="n"/>
      <c r="N45" s="19" t="n"/>
      <c r="O45" s="20" t="n"/>
      <c r="P45" s="19" t="n"/>
    </row>
    <row r="46">
      <c r="A46" s="19" t="n"/>
      <c r="B46" s="20" t="n"/>
      <c r="C46" s="21">
        <f>IF(B46="","",DATE(YEAR(B46),MONTH(B46),1))</f>
        <v/>
      </c>
      <c r="D46" s="19" t="n"/>
      <c r="E46" s="19" t="n"/>
      <c r="F46" s="19" t="n"/>
      <c r="G46" s="19" t="n"/>
      <c r="H46" s="19" t="n"/>
      <c r="I46" s="19" t="n"/>
      <c r="J46" s="19" t="n"/>
      <c r="K46" s="20" t="n"/>
      <c r="L46" s="22">
        <f>IF(OR(B46="",K46=""),"",K46-B46)</f>
        <v/>
      </c>
      <c r="M46" s="19" t="n"/>
      <c r="N46" s="19" t="n"/>
      <c r="O46" s="20" t="n"/>
      <c r="P46" s="19" t="n"/>
    </row>
    <row r="47">
      <c r="A47" s="19" t="n"/>
      <c r="B47" s="20" t="n"/>
      <c r="C47" s="21">
        <f>IF(B47="","",DATE(YEAR(B47),MONTH(B47),1))</f>
        <v/>
      </c>
      <c r="D47" s="19" t="n"/>
      <c r="E47" s="19" t="n"/>
      <c r="F47" s="19" t="n"/>
      <c r="G47" s="19" t="n"/>
      <c r="H47" s="19" t="n"/>
      <c r="I47" s="19" t="n"/>
      <c r="J47" s="19" t="n"/>
      <c r="K47" s="20" t="n"/>
      <c r="L47" s="22">
        <f>IF(OR(B47="",K47=""),"",K47-B47)</f>
        <v/>
      </c>
      <c r="M47" s="19" t="n"/>
      <c r="N47" s="19" t="n"/>
      <c r="O47" s="20" t="n"/>
      <c r="P47" s="19" t="n"/>
    </row>
    <row r="48">
      <c r="A48" s="19" t="n"/>
      <c r="B48" s="20" t="n"/>
      <c r="C48" s="21">
        <f>IF(B48="","",DATE(YEAR(B48),MONTH(B48),1))</f>
        <v/>
      </c>
      <c r="D48" s="19" t="n"/>
      <c r="E48" s="19" t="n"/>
      <c r="F48" s="19" t="n"/>
      <c r="G48" s="19" t="n"/>
      <c r="H48" s="19" t="n"/>
      <c r="I48" s="19" t="n"/>
      <c r="J48" s="19" t="n"/>
      <c r="K48" s="20" t="n"/>
      <c r="L48" s="22">
        <f>IF(OR(B48="",K48=""),"",K48-B48)</f>
        <v/>
      </c>
      <c r="M48" s="19" t="n"/>
      <c r="N48" s="19" t="n"/>
      <c r="O48" s="20" t="n"/>
      <c r="P48" s="19" t="n"/>
    </row>
    <row r="49">
      <c r="A49" s="19" t="n"/>
      <c r="B49" s="20" t="n"/>
      <c r="C49" s="21">
        <f>IF(B49="","",DATE(YEAR(B49),MONTH(B49),1))</f>
        <v/>
      </c>
      <c r="D49" s="19" t="n"/>
      <c r="E49" s="19" t="n"/>
      <c r="F49" s="19" t="n"/>
      <c r="G49" s="19" t="n"/>
      <c r="H49" s="19" t="n"/>
      <c r="I49" s="19" t="n"/>
      <c r="J49" s="19" t="n"/>
      <c r="K49" s="20" t="n"/>
      <c r="L49" s="22">
        <f>IF(OR(B49="",K49=""),"",K49-B49)</f>
        <v/>
      </c>
      <c r="M49" s="19" t="n"/>
      <c r="N49" s="19" t="n"/>
      <c r="O49" s="20" t="n"/>
      <c r="P49" s="19" t="n"/>
    </row>
    <row r="50">
      <c r="A50" s="19" t="n"/>
      <c r="B50" s="20" t="n"/>
      <c r="C50" s="21">
        <f>IF(B50="","",DATE(YEAR(B50),MONTH(B50),1))</f>
        <v/>
      </c>
      <c r="D50" s="19" t="n"/>
      <c r="E50" s="19" t="n"/>
      <c r="F50" s="19" t="n"/>
      <c r="G50" s="19" t="n"/>
      <c r="H50" s="19" t="n"/>
      <c r="I50" s="19" t="n"/>
      <c r="J50" s="19" t="n"/>
      <c r="K50" s="20" t="n"/>
      <c r="L50" s="22">
        <f>IF(OR(B50="",K50=""),"",K50-B50)</f>
        <v/>
      </c>
      <c r="M50" s="19" t="n"/>
      <c r="N50" s="19" t="n"/>
      <c r="O50" s="20" t="n"/>
      <c r="P50" s="19" t="n"/>
    </row>
    <row r="51">
      <c r="A51" s="19" t="n"/>
      <c r="B51" s="20" t="n"/>
      <c r="C51" s="21">
        <f>IF(B51="","",DATE(YEAR(B51),MONTH(B51),1))</f>
        <v/>
      </c>
      <c r="D51" s="19" t="n"/>
      <c r="E51" s="19" t="n"/>
      <c r="F51" s="19" t="n"/>
      <c r="G51" s="19" t="n"/>
      <c r="H51" s="19" t="n"/>
      <c r="I51" s="19" t="n"/>
      <c r="J51" s="19" t="n"/>
      <c r="K51" s="20" t="n"/>
      <c r="L51" s="22">
        <f>IF(OR(B51="",K51=""),"",K51-B51)</f>
        <v/>
      </c>
      <c r="M51" s="19" t="n"/>
      <c r="N51" s="19" t="n"/>
      <c r="O51" s="20" t="n"/>
      <c r="P51" s="19" t="n"/>
    </row>
    <row r="52">
      <c r="A52" s="19" t="n"/>
      <c r="B52" s="20" t="n"/>
      <c r="C52" s="21">
        <f>IF(B52="","",DATE(YEAR(B52),MONTH(B52),1))</f>
        <v/>
      </c>
      <c r="D52" s="19" t="n"/>
      <c r="E52" s="19" t="n"/>
      <c r="F52" s="19" t="n"/>
      <c r="G52" s="19" t="n"/>
      <c r="H52" s="19" t="n"/>
      <c r="I52" s="19" t="n"/>
      <c r="J52" s="19" t="n"/>
      <c r="K52" s="20" t="n"/>
      <c r="L52" s="22">
        <f>IF(OR(B52="",K52=""),"",K52-B52)</f>
        <v/>
      </c>
      <c r="M52" s="19" t="n"/>
      <c r="N52" s="19" t="n"/>
      <c r="O52" s="20" t="n"/>
      <c r="P52" s="19" t="n"/>
    </row>
    <row r="53">
      <c r="A53" s="19" t="n"/>
      <c r="B53" s="20" t="n"/>
      <c r="C53" s="21">
        <f>IF(B53="","",DATE(YEAR(B53),MONTH(B53),1))</f>
        <v/>
      </c>
      <c r="D53" s="19" t="n"/>
      <c r="E53" s="19" t="n"/>
      <c r="F53" s="19" t="n"/>
      <c r="G53" s="19" t="n"/>
      <c r="H53" s="19" t="n"/>
      <c r="I53" s="19" t="n"/>
      <c r="J53" s="19" t="n"/>
      <c r="K53" s="20" t="n"/>
      <c r="L53" s="22">
        <f>IF(OR(B53="",K53=""),"",K53-B53)</f>
        <v/>
      </c>
      <c r="M53" s="19" t="n"/>
      <c r="N53" s="19" t="n"/>
      <c r="O53" s="20" t="n"/>
      <c r="P53" s="19" t="n"/>
    </row>
    <row r="54">
      <c r="A54" s="19" t="n"/>
      <c r="B54" s="20" t="n"/>
      <c r="C54" s="21">
        <f>IF(B54="","",DATE(YEAR(B54),MONTH(B54),1))</f>
        <v/>
      </c>
      <c r="D54" s="19" t="n"/>
      <c r="E54" s="19" t="n"/>
      <c r="F54" s="19" t="n"/>
      <c r="G54" s="19" t="n"/>
      <c r="H54" s="19" t="n"/>
      <c r="I54" s="19" t="n"/>
      <c r="J54" s="19" t="n"/>
      <c r="K54" s="20" t="n"/>
      <c r="L54" s="22">
        <f>IF(OR(B54="",K54=""),"",K54-B54)</f>
        <v/>
      </c>
      <c r="M54" s="19" t="n"/>
      <c r="N54" s="19" t="n"/>
      <c r="O54" s="20" t="n"/>
      <c r="P54" s="19" t="n"/>
    </row>
    <row r="55">
      <c r="A55" s="19" t="n"/>
      <c r="B55" s="20" t="n"/>
      <c r="C55" s="21">
        <f>IF(B55="","",DATE(YEAR(B55),MONTH(B55),1))</f>
        <v/>
      </c>
      <c r="D55" s="19" t="n"/>
      <c r="E55" s="19" t="n"/>
      <c r="F55" s="19" t="n"/>
      <c r="G55" s="19" t="n"/>
      <c r="H55" s="19" t="n"/>
      <c r="I55" s="19" t="n"/>
      <c r="J55" s="19" t="n"/>
      <c r="K55" s="20" t="n"/>
      <c r="L55" s="22">
        <f>IF(OR(B55="",K55=""),"",K55-B55)</f>
        <v/>
      </c>
      <c r="M55" s="19" t="n"/>
      <c r="N55" s="19" t="n"/>
      <c r="O55" s="20" t="n"/>
      <c r="P55" s="19" t="n"/>
    </row>
    <row r="56">
      <c r="A56" s="19" t="n"/>
      <c r="B56" s="20" t="n"/>
      <c r="C56" s="21">
        <f>IF(B56="","",DATE(YEAR(B56),MONTH(B56),1))</f>
        <v/>
      </c>
      <c r="D56" s="19" t="n"/>
      <c r="E56" s="19" t="n"/>
      <c r="F56" s="19" t="n"/>
      <c r="G56" s="19" t="n"/>
      <c r="H56" s="19" t="n"/>
      <c r="I56" s="19" t="n"/>
      <c r="J56" s="19" t="n"/>
      <c r="K56" s="20" t="n"/>
      <c r="L56" s="22">
        <f>IF(OR(B56="",K56=""),"",K56-B56)</f>
        <v/>
      </c>
      <c r="M56" s="19" t="n"/>
      <c r="N56" s="19" t="n"/>
      <c r="O56" s="20" t="n"/>
      <c r="P56" s="19" t="n"/>
    </row>
    <row r="57">
      <c r="A57" s="19" t="n"/>
      <c r="B57" s="20" t="n"/>
      <c r="C57" s="21">
        <f>IF(B57="","",DATE(YEAR(B57),MONTH(B57),1))</f>
        <v/>
      </c>
      <c r="D57" s="19" t="n"/>
      <c r="E57" s="19" t="n"/>
      <c r="F57" s="19" t="n"/>
      <c r="G57" s="19" t="n"/>
      <c r="H57" s="19" t="n"/>
      <c r="I57" s="19" t="n"/>
      <c r="J57" s="19" t="n"/>
      <c r="K57" s="20" t="n"/>
      <c r="L57" s="22">
        <f>IF(OR(B57="",K57=""),"",K57-B57)</f>
        <v/>
      </c>
      <c r="M57" s="19" t="n"/>
      <c r="N57" s="19" t="n"/>
      <c r="O57" s="20" t="n"/>
      <c r="P57" s="19" t="n"/>
    </row>
    <row r="58">
      <c r="A58" s="19" t="n"/>
      <c r="B58" s="20" t="n"/>
      <c r="C58" s="21">
        <f>IF(B58="","",DATE(YEAR(B58),MONTH(B58),1))</f>
        <v/>
      </c>
      <c r="D58" s="19" t="n"/>
      <c r="E58" s="19" t="n"/>
      <c r="F58" s="19" t="n"/>
      <c r="G58" s="19" t="n"/>
      <c r="H58" s="19" t="n"/>
      <c r="I58" s="19" t="n"/>
      <c r="J58" s="19" t="n"/>
      <c r="K58" s="20" t="n"/>
      <c r="L58" s="22">
        <f>IF(OR(B58="",K58=""),"",K58-B58)</f>
        <v/>
      </c>
      <c r="M58" s="19" t="n"/>
      <c r="N58" s="19" t="n"/>
      <c r="O58" s="20" t="n"/>
      <c r="P58" s="19" t="n"/>
    </row>
    <row r="59">
      <c r="A59" s="19" t="n"/>
      <c r="B59" s="20" t="n"/>
      <c r="C59" s="21">
        <f>IF(B59="","",DATE(YEAR(B59),MONTH(B59),1))</f>
        <v/>
      </c>
      <c r="D59" s="19" t="n"/>
      <c r="E59" s="19" t="n"/>
      <c r="F59" s="19" t="n"/>
      <c r="G59" s="19" t="n"/>
      <c r="H59" s="19" t="n"/>
      <c r="I59" s="19" t="n"/>
      <c r="J59" s="19" t="n"/>
      <c r="K59" s="20" t="n"/>
      <c r="L59" s="22">
        <f>IF(OR(B59="",K59=""),"",K59-B59)</f>
        <v/>
      </c>
      <c r="M59" s="19" t="n"/>
      <c r="N59" s="19" t="n"/>
      <c r="O59" s="20" t="n"/>
      <c r="P59" s="19" t="n"/>
    </row>
    <row r="60">
      <c r="A60" s="19" t="n"/>
      <c r="B60" s="20" t="n"/>
      <c r="C60" s="21">
        <f>IF(B60="","",DATE(YEAR(B60),MONTH(B60),1))</f>
        <v/>
      </c>
      <c r="D60" s="19" t="n"/>
      <c r="E60" s="19" t="n"/>
      <c r="F60" s="19" t="n"/>
      <c r="G60" s="19" t="n"/>
      <c r="H60" s="19" t="n"/>
      <c r="I60" s="19" t="n"/>
      <c r="J60" s="19" t="n"/>
      <c r="K60" s="20" t="n"/>
      <c r="L60" s="22">
        <f>IF(OR(B60="",K60=""),"",K60-B60)</f>
        <v/>
      </c>
      <c r="M60" s="19" t="n"/>
      <c r="N60" s="19" t="n"/>
      <c r="O60" s="20" t="n"/>
      <c r="P60" s="19" t="n"/>
    </row>
    <row r="61">
      <c r="A61" s="19" t="n"/>
      <c r="B61" s="20" t="n"/>
      <c r="C61" s="21">
        <f>IF(B61="","",DATE(YEAR(B61),MONTH(B61),1))</f>
        <v/>
      </c>
      <c r="D61" s="19" t="n"/>
      <c r="E61" s="19" t="n"/>
      <c r="F61" s="19" t="n"/>
      <c r="G61" s="19" t="n"/>
      <c r="H61" s="19" t="n"/>
      <c r="I61" s="19" t="n"/>
      <c r="J61" s="19" t="n"/>
      <c r="K61" s="20" t="n"/>
      <c r="L61" s="22">
        <f>IF(OR(B61="",K61=""),"",K61-B61)</f>
        <v/>
      </c>
      <c r="M61" s="19" t="n"/>
      <c r="N61" s="19" t="n"/>
      <c r="O61" s="20" t="n"/>
      <c r="P61" s="19" t="n"/>
    </row>
    <row r="62">
      <c r="A62" s="19" t="n"/>
      <c r="B62" s="20" t="n"/>
      <c r="C62" s="21">
        <f>IF(B62="","",DATE(YEAR(B62),MONTH(B62),1))</f>
        <v/>
      </c>
      <c r="D62" s="19" t="n"/>
      <c r="E62" s="19" t="n"/>
      <c r="F62" s="19" t="n"/>
      <c r="G62" s="19" t="n"/>
      <c r="H62" s="19" t="n"/>
      <c r="I62" s="19" t="n"/>
      <c r="J62" s="19" t="n"/>
      <c r="K62" s="20" t="n"/>
      <c r="L62" s="22">
        <f>IF(OR(B62="",K62=""),"",K62-B62)</f>
        <v/>
      </c>
      <c r="M62" s="19" t="n"/>
      <c r="N62" s="19" t="n"/>
      <c r="O62" s="20" t="n"/>
      <c r="P62" s="19" t="n"/>
    </row>
    <row r="63">
      <c r="A63" s="19" t="n"/>
      <c r="B63" s="20" t="n"/>
      <c r="C63" s="21">
        <f>IF(B63="","",DATE(YEAR(B63),MONTH(B63),1))</f>
        <v/>
      </c>
      <c r="D63" s="19" t="n"/>
      <c r="E63" s="19" t="n"/>
      <c r="F63" s="19" t="n"/>
      <c r="G63" s="19" t="n"/>
      <c r="H63" s="19" t="n"/>
      <c r="I63" s="19" t="n"/>
      <c r="J63" s="19" t="n"/>
      <c r="K63" s="20" t="n"/>
      <c r="L63" s="22">
        <f>IF(OR(B63="",K63=""),"",K63-B63)</f>
        <v/>
      </c>
      <c r="M63" s="19" t="n"/>
      <c r="N63" s="19" t="n"/>
      <c r="O63" s="20" t="n"/>
      <c r="P63" s="19" t="n"/>
    </row>
    <row r="64">
      <c r="A64" s="19" t="n"/>
      <c r="B64" s="20" t="n"/>
      <c r="C64" s="21">
        <f>IF(B64="","",DATE(YEAR(B64),MONTH(B64),1))</f>
        <v/>
      </c>
      <c r="D64" s="19" t="n"/>
      <c r="E64" s="19" t="n"/>
      <c r="F64" s="19" t="n"/>
      <c r="G64" s="19" t="n"/>
      <c r="H64" s="19" t="n"/>
      <c r="I64" s="19" t="n"/>
      <c r="J64" s="19" t="n"/>
      <c r="K64" s="20" t="n"/>
      <c r="L64" s="22">
        <f>IF(OR(B64="",K64=""),"",K64-B64)</f>
        <v/>
      </c>
      <c r="M64" s="19" t="n"/>
      <c r="N64" s="19" t="n"/>
      <c r="O64" s="20" t="n"/>
      <c r="P64" s="19" t="n"/>
    </row>
    <row r="65">
      <c r="A65" s="19" t="n"/>
      <c r="B65" s="20" t="n"/>
      <c r="C65" s="21">
        <f>IF(B65="","",DATE(YEAR(B65),MONTH(B65),1))</f>
        <v/>
      </c>
      <c r="D65" s="19" t="n"/>
      <c r="E65" s="19" t="n"/>
      <c r="F65" s="19" t="n"/>
      <c r="G65" s="19" t="n"/>
      <c r="H65" s="19" t="n"/>
      <c r="I65" s="19" t="n"/>
      <c r="J65" s="19" t="n"/>
      <c r="K65" s="20" t="n"/>
      <c r="L65" s="22">
        <f>IF(OR(B65="",K65=""),"",K65-B65)</f>
        <v/>
      </c>
      <c r="M65" s="19" t="n"/>
      <c r="N65" s="19" t="n"/>
      <c r="O65" s="20" t="n"/>
      <c r="P65" s="19" t="n"/>
    </row>
    <row r="66">
      <c r="A66" s="19" t="n"/>
      <c r="B66" s="20" t="n"/>
      <c r="C66" s="21">
        <f>IF(B66="","",DATE(YEAR(B66),MONTH(B66),1))</f>
        <v/>
      </c>
      <c r="D66" s="19" t="n"/>
      <c r="E66" s="19" t="n"/>
      <c r="F66" s="19" t="n"/>
      <c r="G66" s="19" t="n"/>
      <c r="H66" s="19" t="n"/>
      <c r="I66" s="19" t="n"/>
      <c r="J66" s="19" t="n"/>
      <c r="K66" s="20" t="n"/>
      <c r="L66" s="22">
        <f>IF(OR(B66="",K66=""),"",K66-B66)</f>
        <v/>
      </c>
      <c r="M66" s="19" t="n"/>
      <c r="N66" s="19" t="n"/>
      <c r="O66" s="20" t="n"/>
      <c r="P66" s="19" t="n"/>
    </row>
    <row r="67">
      <c r="A67" s="19" t="n"/>
      <c r="B67" s="20" t="n"/>
      <c r="C67" s="21">
        <f>IF(B67="","",DATE(YEAR(B67),MONTH(B67),1))</f>
        <v/>
      </c>
      <c r="D67" s="19" t="n"/>
      <c r="E67" s="19" t="n"/>
      <c r="F67" s="19" t="n"/>
      <c r="G67" s="19" t="n"/>
      <c r="H67" s="19" t="n"/>
      <c r="I67" s="19" t="n"/>
      <c r="J67" s="19" t="n"/>
      <c r="K67" s="20" t="n"/>
      <c r="L67" s="22">
        <f>IF(OR(B67="",K67=""),"",K67-B67)</f>
        <v/>
      </c>
      <c r="M67" s="19" t="n"/>
      <c r="N67" s="19" t="n"/>
      <c r="O67" s="20" t="n"/>
      <c r="P67" s="19" t="n"/>
    </row>
    <row r="68">
      <c r="A68" s="19" t="n"/>
      <c r="B68" s="20" t="n"/>
      <c r="C68" s="21">
        <f>IF(B68="","",DATE(YEAR(B68),MONTH(B68),1))</f>
        <v/>
      </c>
      <c r="D68" s="19" t="n"/>
      <c r="E68" s="19" t="n"/>
      <c r="F68" s="19" t="n"/>
      <c r="G68" s="19" t="n"/>
      <c r="H68" s="19" t="n"/>
      <c r="I68" s="19" t="n"/>
      <c r="J68" s="19" t="n"/>
      <c r="K68" s="20" t="n"/>
      <c r="L68" s="22">
        <f>IF(OR(B68="",K68=""),"",K68-B68)</f>
        <v/>
      </c>
      <c r="M68" s="19" t="n"/>
      <c r="N68" s="19" t="n"/>
      <c r="O68" s="20" t="n"/>
      <c r="P68" s="19" t="n"/>
    </row>
    <row r="69">
      <c r="A69" s="19" t="n"/>
      <c r="B69" s="20" t="n"/>
      <c r="C69" s="21">
        <f>IF(B69="","",DATE(YEAR(B69),MONTH(B69),1))</f>
        <v/>
      </c>
      <c r="D69" s="19" t="n"/>
      <c r="E69" s="19" t="n"/>
      <c r="F69" s="19" t="n"/>
      <c r="G69" s="19" t="n"/>
      <c r="H69" s="19" t="n"/>
      <c r="I69" s="19" t="n"/>
      <c r="J69" s="19" t="n"/>
      <c r="K69" s="20" t="n"/>
      <c r="L69" s="22">
        <f>IF(OR(B69="",K69=""),"",K69-B69)</f>
        <v/>
      </c>
      <c r="M69" s="19" t="n"/>
      <c r="N69" s="19" t="n"/>
      <c r="O69" s="20" t="n"/>
      <c r="P69" s="19" t="n"/>
    </row>
    <row r="70">
      <c r="A70" s="19" t="n"/>
      <c r="B70" s="20" t="n"/>
      <c r="C70" s="21">
        <f>IF(B70="","",DATE(YEAR(B70),MONTH(B70),1))</f>
        <v/>
      </c>
      <c r="D70" s="19" t="n"/>
      <c r="E70" s="19" t="n"/>
      <c r="F70" s="19" t="n"/>
      <c r="G70" s="19" t="n"/>
      <c r="H70" s="19" t="n"/>
      <c r="I70" s="19" t="n"/>
      <c r="J70" s="19" t="n"/>
      <c r="K70" s="20" t="n"/>
      <c r="L70" s="22">
        <f>IF(OR(B70="",K70=""),"",K70-B70)</f>
        <v/>
      </c>
      <c r="M70" s="19" t="n"/>
      <c r="N70" s="19" t="n"/>
      <c r="O70" s="20" t="n"/>
      <c r="P70" s="19" t="n"/>
    </row>
    <row r="71">
      <c r="A71" s="19" t="n"/>
      <c r="B71" s="20" t="n"/>
      <c r="C71" s="21">
        <f>IF(B71="","",DATE(YEAR(B71),MONTH(B71),1))</f>
        <v/>
      </c>
      <c r="D71" s="19" t="n"/>
      <c r="E71" s="19" t="n"/>
      <c r="F71" s="19" t="n"/>
      <c r="G71" s="19" t="n"/>
      <c r="H71" s="19" t="n"/>
      <c r="I71" s="19" t="n"/>
      <c r="J71" s="19" t="n"/>
      <c r="K71" s="20" t="n"/>
      <c r="L71" s="22">
        <f>IF(OR(B71="",K71=""),"",K71-B71)</f>
        <v/>
      </c>
      <c r="M71" s="19" t="n"/>
      <c r="N71" s="19" t="n"/>
      <c r="O71" s="20" t="n"/>
      <c r="P71" s="19" t="n"/>
    </row>
    <row r="72">
      <c r="A72" s="19" t="n"/>
      <c r="B72" s="20" t="n"/>
      <c r="C72" s="21">
        <f>IF(B72="","",DATE(YEAR(B72),MONTH(B72),1))</f>
        <v/>
      </c>
      <c r="D72" s="19" t="n"/>
      <c r="E72" s="19" t="n"/>
      <c r="F72" s="19" t="n"/>
      <c r="G72" s="19" t="n"/>
      <c r="H72" s="19" t="n"/>
      <c r="I72" s="19" t="n"/>
      <c r="J72" s="19" t="n"/>
      <c r="K72" s="20" t="n"/>
      <c r="L72" s="22">
        <f>IF(OR(B72="",K72=""),"",K72-B72)</f>
        <v/>
      </c>
      <c r="M72" s="19" t="n"/>
      <c r="N72" s="19" t="n"/>
      <c r="O72" s="20" t="n"/>
      <c r="P72" s="19" t="n"/>
    </row>
    <row r="73">
      <c r="A73" s="19" t="n"/>
      <c r="B73" s="20" t="n"/>
      <c r="C73" s="21">
        <f>IF(B73="","",DATE(YEAR(B73),MONTH(B73),1))</f>
        <v/>
      </c>
      <c r="D73" s="19" t="n"/>
      <c r="E73" s="19" t="n"/>
      <c r="F73" s="19" t="n"/>
      <c r="G73" s="19" t="n"/>
      <c r="H73" s="19" t="n"/>
      <c r="I73" s="19" t="n"/>
      <c r="J73" s="19" t="n"/>
      <c r="K73" s="20" t="n"/>
      <c r="L73" s="22">
        <f>IF(OR(B73="",K73=""),"",K73-B73)</f>
        <v/>
      </c>
      <c r="M73" s="19" t="n"/>
      <c r="N73" s="19" t="n"/>
      <c r="O73" s="20" t="n"/>
      <c r="P73" s="19" t="n"/>
    </row>
    <row r="74">
      <c r="A74" s="19" t="n"/>
      <c r="B74" s="20" t="n"/>
      <c r="C74" s="21">
        <f>IF(B74="","",DATE(YEAR(B74),MONTH(B74),1))</f>
        <v/>
      </c>
      <c r="D74" s="19" t="n"/>
      <c r="E74" s="19" t="n"/>
      <c r="F74" s="19" t="n"/>
      <c r="G74" s="19" t="n"/>
      <c r="H74" s="19" t="n"/>
      <c r="I74" s="19" t="n"/>
      <c r="J74" s="19" t="n"/>
      <c r="K74" s="20" t="n"/>
      <c r="L74" s="22">
        <f>IF(OR(B74="",K74=""),"",K74-B74)</f>
        <v/>
      </c>
      <c r="M74" s="19" t="n"/>
      <c r="N74" s="19" t="n"/>
      <c r="O74" s="20" t="n"/>
      <c r="P74" s="19" t="n"/>
    </row>
    <row r="75">
      <c r="A75" s="19" t="n"/>
      <c r="B75" s="20" t="n"/>
      <c r="C75" s="21">
        <f>IF(B75="","",DATE(YEAR(B75),MONTH(B75),1))</f>
        <v/>
      </c>
      <c r="D75" s="19" t="n"/>
      <c r="E75" s="19" t="n"/>
      <c r="F75" s="19" t="n"/>
      <c r="G75" s="19" t="n"/>
      <c r="H75" s="19" t="n"/>
      <c r="I75" s="19" t="n"/>
      <c r="J75" s="19" t="n"/>
      <c r="K75" s="20" t="n"/>
      <c r="L75" s="22">
        <f>IF(OR(B75="",K75=""),"",K75-B75)</f>
        <v/>
      </c>
      <c r="M75" s="19" t="n"/>
      <c r="N75" s="19" t="n"/>
      <c r="O75" s="20" t="n"/>
      <c r="P75" s="19" t="n"/>
    </row>
    <row r="76">
      <c r="A76" s="19" t="n"/>
      <c r="B76" s="20" t="n"/>
      <c r="C76" s="21">
        <f>IF(B76="","",DATE(YEAR(B76),MONTH(B76),1))</f>
        <v/>
      </c>
      <c r="D76" s="19" t="n"/>
      <c r="E76" s="19" t="n"/>
      <c r="F76" s="19" t="n"/>
      <c r="G76" s="19" t="n"/>
      <c r="H76" s="19" t="n"/>
      <c r="I76" s="19" t="n"/>
      <c r="J76" s="19" t="n"/>
      <c r="K76" s="20" t="n"/>
      <c r="L76" s="22">
        <f>IF(OR(B76="",K76=""),"",K76-B76)</f>
        <v/>
      </c>
      <c r="M76" s="19" t="n"/>
      <c r="N76" s="19" t="n"/>
      <c r="O76" s="20" t="n"/>
      <c r="P76" s="19" t="n"/>
    </row>
    <row r="77">
      <c r="A77" s="19" t="n"/>
      <c r="B77" s="20" t="n"/>
      <c r="C77" s="21">
        <f>IF(B77="","",DATE(YEAR(B77),MONTH(B77),1))</f>
        <v/>
      </c>
      <c r="D77" s="19" t="n"/>
      <c r="E77" s="19" t="n"/>
      <c r="F77" s="19" t="n"/>
      <c r="G77" s="19" t="n"/>
      <c r="H77" s="19" t="n"/>
      <c r="I77" s="19" t="n"/>
      <c r="J77" s="19" t="n"/>
      <c r="K77" s="20" t="n"/>
      <c r="L77" s="22">
        <f>IF(OR(B77="",K77=""),"",K77-B77)</f>
        <v/>
      </c>
      <c r="M77" s="19" t="n"/>
      <c r="N77" s="19" t="n"/>
      <c r="O77" s="20" t="n"/>
      <c r="P77" s="19" t="n"/>
    </row>
    <row r="78">
      <c r="A78" s="19" t="n"/>
      <c r="B78" s="20" t="n"/>
      <c r="C78" s="21">
        <f>IF(B78="","",DATE(YEAR(B78),MONTH(B78),1))</f>
        <v/>
      </c>
      <c r="D78" s="19" t="n"/>
      <c r="E78" s="19" t="n"/>
      <c r="F78" s="19" t="n"/>
      <c r="G78" s="19" t="n"/>
      <c r="H78" s="19" t="n"/>
      <c r="I78" s="19" t="n"/>
      <c r="J78" s="19" t="n"/>
      <c r="K78" s="20" t="n"/>
      <c r="L78" s="22">
        <f>IF(OR(B78="",K78=""),"",K78-B78)</f>
        <v/>
      </c>
      <c r="M78" s="19" t="n"/>
      <c r="N78" s="19" t="n"/>
      <c r="O78" s="20" t="n"/>
      <c r="P78" s="19" t="n"/>
    </row>
    <row r="79">
      <c r="A79" s="19" t="n"/>
      <c r="B79" s="20" t="n"/>
      <c r="C79" s="21">
        <f>IF(B79="","",DATE(YEAR(B79),MONTH(B79),1))</f>
        <v/>
      </c>
      <c r="D79" s="19" t="n"/>
      <c r="E79" s="19" t="n"/>
      <c r="F79" s="19" t="n"/>
      <c r="G79" s="19" t="n"/>
      <c r="H79" s="19" t="n"/>
      <c r="I79" s="19" t="n"/>
      <c r="J79" s="19" t="n"/>
      <c r="K79" s="20" t="n"/>
      <c r="L79" s="22">
        <f>IF(OR(B79="",K79=""),"",K79-B79)</f>
        <v/>
      </c>
      <c r="M79" s="19" t="n"/>
      <c r="N79" s="19" t="n"/>
      <c r="O79" s="20" t="n"/>
      <c r="P79" s="19" t="n"/>
    </row>
    <row r="80">
      <c r="A80" s="19" t="n"/>
      <c r="B80" s="20" t="n"/>
      <c r="C80" s="21">
        <f>IF(B80="","",DATE(YEAR(B80),MONTH(B80),1))</f>
        <v/>
      </c>
      <c r="D80" s="19" t="n"/>
      <c r="E80" s="19" t="n"/>
      <c r="F80" s="19" t="n"/>
      <c r="G80" s="19" t="n"/>
      <c r="H80" s="19" t="n"/>
      <c r="I80" s="19" t="n"/>
      <c r="J80" s="19" t="n"/>
      <c r="K80" s="20" t="n"/>
      <c r="L80" s="22">
        <f>IF(OR(B80="",K80=""),"",K80-B80)</f>
        <v/>
      </c>
      <c r="M80" s="19" t="n"/>
      <c r="N80" s="19" t="n"/>
      <c r="O80" s="20" t="n"/>
      <c r="P80" s="19" t="n"/>
    </row>
    <row r="81">
      <c r="A81" s="19" t="n"/>
      <c r="B81" s="20" t="n"/>
      <c r="C81" s="21">
        <f>IF(B81="","",DATE(YEAR(B81),MONTH(B81),1))</f>
        <v/>
      </c>
      <c r="D81" s="19" t="n"/>
      <c r="E81" s="19" t="n"/>
      <c r="F81" s="19" t="n"/>
      <c r="G81" s="19" t="n"/>
      <c r="H81" s="19" t="n"/>
      <c r="I81" s="19" t="n"/>
      <c r="J81" s="19" t="n"/>
      <c r="K81" s="20" t="n"/>
      <c r="L81" s="22">
        <f>IF(OR(B81="",K81=""),"",K81-B81)</f>
        <v/>
      </c>
      <c r="M81" s="19" t="n"/>
      <c r="N81" s="19" t="n"/>
      <c r="O81" s="20" t="n"/>
      <c r="P81" s="19" t="n"/>
    </row>
    <row r="82">
      <c r="A82" s="19" t="n"/>
      <c r="B82" s="20" t="n"/>
      <c r="C82" s="21">
        <f>IF(B82="","",DATE(YEAR(B82),MONTH(B82),1))</f>
        <v/>
      </c>
      <c r="D82" s="19" t="n"/>
      <c r="E82" s="19" t="n"/>
      <c r="F82" s="19" t="n"/>
      <c r="G82" s="19" t="n"/>
      <c r="H82" s="19" t="n"/>
      <c r="I82" s="19" t="n"/>
      <c r="J82" s="19" t="n"/>
      <c r="K82" s="20" t="n"/>
      <c r="L82" s="22">
        <f>IF(OR(B82="",K82=""),"",K82-B82)</f>
        <v/>
      </c>
      <c r="M82" s="19" t="n"/>
      <c r="N82" s="19" t="n"/>
      <c r="O82" s="20" t="n"/>
      <c r="P82" s="19" t="n"/>
    </row>
    <row r="83">
      <c r="A83" s="19" t="n"/>
      <c r="B83" s="20" t="n"/>
      <c r="C83" s="21">
        <f>IF(B83="","",DATE(YEAR(B83),MONTH(B83),1))</f>
        <v/>
      </c>
      <c r="D83" s="19" t="n"/>
      <c r="E83" s="19" t="n"/>
      <c r="F83" s="19" t="n"/>
      <c r="G83" s="19" t="n"/>
      <c r="H83" s="19" t="n"/>
      <c r="I83" s="19" t="n"/>
      <c r="J83" s="19" t="n"/>
      <c r="K83" s="20" t="n"/>
      <c r="L83" s="22">
        <f>IF(OR(B83="",K83=""),"",K83-B83)</f>
        <v/>
      </c>
      <c r="M83" s="19" t="n"/>
      <c r="N83" s="19" t="n"/>
      <c r="O83" s="20" t="n"/>
      <c r="P83" s="19" t="n"/>
    </row>
    <row r="84">
      <c r="A84" s="19" t="n"/>
      <c r="B84" s="20" t="n"/>
      <c r="C84" s="21">
        <f>IF(B84="","",DATE(YEAR(B84),MONTH(B84),1))</f>
        <v/>
      </c>
      <c r="D84" s="19" t="n"/>
      <c r="E84" s="19" t="n"/>
      <c r="F84" s="19" t="n"/>
      <c r="G84" s="19" t="n"/>
      <c r="H84" s="19" t="n"/>
      <c r="I84" s="19" t="n"/>
      <c r="J84" s="19" t="n"/>
      <c r="K84" s="20" t="n"/>
      <c r="L84" s="22">
        <f>IF(OR(B84="",K84=""),"",K84-B84)</f>
        <v/>
      </c>
      <c r="M84" s="19" t="n"/>
      <c r="N84" s="19" t="n"/>
      <c r="O84" s="20" t="n"/>
      <c r="P84" s="19" t="n"/>
    </row>
    <row r="85">
      <c r="A85" s="19" t="n"/>
      <c r="B85" s="20" t="n"/>
      <c r="C85" s="21">
        <f>IF(B85="","",DATE(YEAR(B85),MONTH(B85),1))</f>
        <v/>
      </c>
      <c r="D85" s="19" t="n"/>
      <c r="E85" s="19" t="n"/>
      <c r="F85" s="19" t="n"/>
      <c r="G85" s="19" t="n"/>
      <c r="H85" s="19" t="n"/>
      <c r="I85" s="19" t="n"/>
      <c r="J85" s="19" t="n"/>
      <c r="K85" s="20" t="n"/>
      <c r="L85" s="22">
        <f>IF(OR(B85="",K85=""),"",K85-B85)</f>
        <v/>
      </c>
      <c r="M85" s="19" t="n"/>
      <c r="N85" s="19" t="n"/>
      <c r="O85" s="20" t="n"/>
      <c r="P85" s="19" t="n"/>
    </row>
    <row r="86">
      <c r="A86" s="19" t="n"/>
      <c r="B86" s="20" t="n"/>
      <c r="C86" s="21">
        <f>IF(B86="","",DATE(YEAR(B86),MONTH(B86),1))</f>
        <v/>
      </c>
      <c r="D86" s="19" t="n"/>
      <c r="E86" s="19" t="n"/>
      <c r="F86" s="19" t="n"/>
      <c r="G86" s="19" t="n"/>
      <c r="H86" s="19" t="n"/>
      <c r="I86" s="19" t="n"/>
      <c r="J86" s="19" t="n"/>
      <c r="K86" s="20" t="n"/>
      <c r="L86" s="22">
        <f>IF(OR(B86="",K86=""),"",K86-B86)</f>
        <v/>
      </c>
      <c r="M86" s="19" t="n"/>
      <c r="N86" s="19" t="n"/>
      <c r="O86" s="20" t="n"/>
      <c r="P86" s="19" t="n"/>
    </row>
    <row r="87">
      <c r="A87" s="19" t="n"/>
      <c r="B87" s="20" t="n"/>
      <c r="C87" s="21">
        <f>IF(B87="","",DATE(YEAR(B87),MONTH(B87),1))</f>
        <v/>
      </c>
      <c r="D87" s="19" t="n"/>
      <c r="E87" s="19" t="n"/>
      <c r="F87" s="19" t="n"/>
      <c r="G87" s="19" t="n"/>
      <c r="H87" s="19" t="n"/>
      <c r="I87" s="19" t="n"/>
      <c r="J87" s="19" t="n"/>
      <c r="K87" s="20" t="n"/>
      <c r="L87" s="22">
        <f>IF(OR(B87="",K87=""),"",K87-B87)</f>
        <v/>
      </c>
      <c r="M87" s="19" t="n"/>
      <c r="N87" s="19" t="n"/>
      <c r="O87" s="20" t="n"/>
      <c r="P87" s="19" t="n"/>
    </row>
    <row r="88">
      <c r="A88" s="19" t="n"/>
      <c r="B88" s="20" t="n"/>
      <c r="C88" s="21">
        <f>IF(B88="","",DATE(YEAR(B88),MONTH(B88),1))</f>
        <v/>
      </c>
      <c r="D88" s="19" t="n"/>
      <c r="E88" s="19" t="n"/>
      <c r="F88" s="19" t="n"/>
      <c r="G88" s="19" t="n"/>
      <c r="H88" s="19" t="n"/>
      <c r="I88" s="19" t="n"/>
      <c r="J88" s="19" t="n"/>
      <c r="K88" s="20" t="n"/>
      <c r="L88" s="22">
        <f>IF(OR(B88="",K88=""),"",K88-B88)</f>
        <v/>
      </c>
      <c r="M88" s="19" t="n"/>
      <c r="N88" s="19" t="n"/>
      <c r="O88" s="20" t="n"/>
      <c r="P88" s="19" t="n"/>
    </row>
    <row r="89">
      <c r="A89" s="19" t="n"/>
      <c r="B89" s="20" t="n"/>
      <c r="C89" s="21">
        <f>IF(B89="","",DATE(YEAR(B89),MONTH(B89),1))</f>
        <v/>
      </c>
      <c r="D89" s="19" t="n"/>
      <c r="E89" s="19" t="n"/>
      <c r="F89" s="19" t="n"/>
      <c r="G89" s="19" t="n"/>
      <c r="H89" s="19" t="n"/>
      <c r="I89" s="19" t="n"/>
      <c r="J89" s="19" t="n"/>
      <c r="K89" s="20" t="n"/>
      <c r="L89" s="22">
        <f>IF(OR(B89="",K89=""),"",K89-B89)</f>
        <v/>
      </c>
      <c r="M89" s="19" t="n"/>
      <c r="N89" s="19" t="n"/>
      <c r="O89" s="20" t="n"/>
      <c r="P89" s="19" t="n"/>
    </row>
    <row r="90">
      <c r="A90" s="19" t="n"/>
      <c r="B90" s="20" t="n"/>
      <c r="C90" s="21">
        <f>IF(B90="","",DATE(YEAR(B90),MONTH(B90),1))</f>
        <v/>
      </c>
      <c r="D90" s="19" t="n"/>
      <c r="E90" s="19" t="n"/>
      <c r="F90" s="19" t="n"/>
      <c r="G90" s="19" t="n"/>
      <c r="H90" s="19" t="n"/>
      <c r="I90" s="19" t="n"/>
      <c r="J90" s="19" t="n"/>
      <c r="K90" s="20" t="n"/>
      <c r="L90" s="22">
        <f>IF(OR(B90="",K90=""),"",K90-B90)</f>
        <v/>
      </c>
      <c r="M90" s="19" t="n"/>
      <c r="N90" s="19" t="n"/>
      <c r="O90" s="20" t="n"/>
      <c r="P90" s="19" t="n"/>
    </row>
    <row r="91">
      <c r="A91" s="19" t="n"/>
      <c r="B91" s="20" t="n"/>
      <c r="C91" s="21">
        <f>IF(B91="","",DATE(YEAR(B91),MONTH(B91),1))</f>
        <v/>
      </c>
      <c r="D91" s="19" t="n"/>
      <c r="E91" s="19" t="n"/>
      <c r="F91" s="19" t="n"/>
      <c r="G91" s="19" t="n"/>
      <c r="H91" s="19" t="n"/>
      <c r="I91" s="19" t="n"/>
      <c r="J91" s="19" t="n"/>
      <c r="K91" s="20" t="n"/>
      <c r="L91" s="22">
        <f>IF(OR(B91="",K91=""),"",K91-B91)</f>
        <v/>
      </c>
      <c r="M91" s="19" t="n"/>
      <c r="N91" s="19" t="n"/>
      <c r="O91" s="20" t="n"/>
      <c r="P91" s="19" t="n"/>
    </row>
    <row r="92">
      <c r="A92" s="19" t="n"/>
      <c r="B92" s="20" t="n"/>
      <c r="C92" s="21">
        <f>IF(B92="","",DATE(YEAR(B92),MONTH(B92),1))</f>
        <v/>
      </c>
      <c r="D92" s="19" t="n"/>
      <c r="E92" s="19" t="n"/>
      <c r="F92" s="19" t="n"/>
      <c r="G92" s="19" t="n"/>
      <c r="H92" s="19" t="n"/>
      <c r="I92" s="19" t="n"/>
      <c r="J92" s="19" t="n"/>
      <c r="K92" s="20" t="n"/>
      <c r="L92" s="22">
        <f>IF(OR(B92="",K92=""),"",K92-B92)</f>
        <v/>
      </c>
      <c r="M92" s="19" t="n"/>
      <c r="N92" s="19" t="n"/>
      <c r="O92" s="20" t="n"/>
      <c r="P92" s="19" t="n"/>
    </row>
    <row r="93">
      <c r="A93" s="19" t="n"/>
      <c r="B93" s="20" t="n"/>
      <c r="C93" s="21">
        <f>IF(B93="","",DATE(YEAR(B93),MONTH(B93),1))</f>
        <v/>
      </c>
      <c r="D93" s="19" t="n"/>
      <c r="E93" s="19" t="n"/>
      <c r="F93" s="19" t="n"/>
      <c r="G93" s="19" t="n"/>
      <c r="H93" s="19" t="n"/>
      <c r="I93" s="19" t="n"/>
      <c r="J93" s="19" t="n"/>
      <c r="K93" s="20" t="n"/>
      <c r="L93" s="22">
        <f>IF(OR(B93="",K93=""),"",K93-B93)</f>
        <v/>
      </c>
      <c r="M93" s="19" t="n"/>
      <c r="N93" s="19" t="n"/>
      <c r="O93" s="20" t="n"/>
      <c r="P93" s="19" t="n"/>
    </row>
    <row r="94">
      <c r="A94" s="19" t="n"/>
      <c r="B94" s="20" t="n"/>
      <c r="C94" s="21">
        <f>IF(B94="","",DATE(YEAR(B94),MONTH(B94),1))</f>
        <v/>
      </c>
      <c r="D94" s="19" t="n"/>
      <c r="E94" s="19" t="n"/>
      <c r="F94" s="19" t="n"/>
      <c r="G94" s="19" t="n"/>
      <c r="H94" s="19" t="n"/>
      <c r="I94" s="19" t="n"/>
      <c r="J94" s="19" t="n"/>
      <c r="K94" s="20" t="n"/>
      <c r="L94" s="22">
        <f>IF(OR(B94="",K94=""),"",K94-B94)</f>
        <v/>
      </c>
      <c r="M94" s="19" t="n"/>
      <c r="N94" s="19" t="n"/>
      <c r="O94" s="20" t="n"/>
      <c r="P94" s="19" t="n"/>
    </row>
    <row r="95">
      <c r="A95" s="19" t="n"/>
      <c r="B95" s="20" t="n"/>
      <c r="C95" s="21">
        <f>IF(B95="","",DATE(YEAR(B95),MONTH(B95),1))</f>
        <v/>
      </c>
      <c r="D95" s="19" t="n"/>
      <c r="E95" s="19" t="n"/>
      <c r="F95" s="19" t="n"/>
      <c r="G95" s="19" t="n"/>
      <c r="H95" s="19" t="n"/>
      <c r="I95" s="19" t="n"/>
      <c r="J95" s="19" t="n"/>
      <c r="K95" s="20" t="n"/>
      <c r="L95" s="22">
        <f>IF(OR(B95="",K95=""),"",K95-B95)</f>
        <v/>
      </c>
      <c r="M95" s="19" t="n"/>
      <c r="N95" s="19" t="n"/>
      <c r="O95" s="20" t="n"/>
      <c r="P95" s="19" t="n"/>
    </row>
    <row r="96">
      <c r="A96" s="19" t="n"/>
      <c r="B96" s="20" t="n"/>
      <c r="C96" s="21">
        <f>IF(B96="","",DATE(YEAR(B96),MONTH(B96),1))</f>
        <v/>
      </c>
      <c r="D96" s="19" t="n"/>
      <c r="E96" s="19" t="n"/>
      <c r="F96" s="19" t="n"/>
      <c r="G96" s="19" t="n"/>
      <c r="H96" s="19" t="n"/>
      <c r="I96" s="19" t="n"/>
      <c r="J96" s="19" t="n"/>
      <c r="K96" s="20" t="n"/>
      <c r="L96" s="22">
        <f>IF(OR(B96="",K96=""),"",K96-B96)</f>
        <v/>
      </c>
      <c r="M96" s="19" t="n"/>
      <c r="N96" s="19" t="n"/>
      <c r="O96" s="20" t="n"/>
      <c r="P96" s="19" t="n"/>
    </row>
    <row r="97">
      <c r="A97" s="19" t="n"/>
      <c r="B97" s="20" t="n"/>
      <c r="C97" s="21">
        <f>IF(B97="","",DATE(YEAR(B97),MONTH(B97),1))</f>
        <v/>
      </c>
      <c r="D97" s="19" t="n"/>
      <c r="E97" s="19" t="n"/>
      <c r="F97" s="19" t="n"/>
      <c r="G97" s="19" t="n"/>
      <c r="H97" s="19" t="n"/>
      <c r="I97" s="19" t="n"/>
      <c r="J97" s="19" t="n"/>
      <c r="K97" s="20" t="n"/>
      <c r="L97" s="22">
        <f>IF(OR(B97="",K97=""),"",K97-B97)</f>
        <v/>
      </c>
      <c r="M97" s="19" t="n"/>
      <c r="N97" s="19" t="n"/>
      <c r="O97" s="20" t="n"/>
      <c r="P97" s="19" t="n"/>
    </row>
    <row r="98">
      <c r="A98" s="19" t="n"/>
      <c r="B98" s="20" t="n"/>
      <c r="C98" s="21">
        <f>IF(B98="","",DATE(YEAR(B98),MONTH(B98),1))</f>
        <v/>
      </c>
      <c r="D98" s="19" t="n"/>
      <c r="E98" s="19" t="n"/>
      <c r="F98" s="19" t="n"/>
      <c r="G98" s="19" t="n"/>
      <c r="H98" s="19" t="n"/>
      <c r="I98" s="19" t="n"/>
      <c r="J98" s="19" t="n"/>
      <c r="K98" s="20" t="n"/>
      <c r="L98" s="22">
        <f>IF(OR(B98="",K98=""),"",K98-B98)</f>
        <v/>
      </c>
      <c r="M98" s="19" t="n"/>
      <c r="N98" s="19" t="n"/>
      <c r="O98" s="20" t="n"/>
      <c r="P98" s="19" t="n"/>
    </row>
    <row r="99">
      <c r="A99" s="19" t="n"/>
      <c r="B99" s="20" t="n"/>
      <c r="C99" s="21">
        <f>IF(B99="","",DATE(YEAR(B99),MONTH(B99),1))</f>
        <v/>
      </c>
      <c r="D99" s="19" t="n"/>
      <c r="E99" s="19" t="n"/>
      <c r="F99" s="19" t="n"/>
      <c r="G99" s="19" t="n"/>
      <c r="H99" s="19" t="n"/>
      <c r="I99" s="19" t="n"/>
      <c r="J99" s="19" t="n"/>
      <c r="K99" s="20" t="n"/>
      <c r="L99" s="22">
        <f>IF(OR(B99="",K99=""),"",K99-B99)</f>
        <v/>
      </c>
      <c r="M99" s="19" t="n"/>
      <c r="N99" s="19" t="n"/>
      <c r="O99" s="20" t="n"/>
      <c r="P99" s="19" t="n"/>
    </row>
    <row r="100">
      <c r="A100" s="19" t="n"/>
      <c r="B100" s="20" t="n"/>
      <c r="C100" s="21">
        <f>IF(B100="","",DATE(YEAR(B100),MONTH(B100),1))</f>
        <v/>
      </c>
      <c r="D100" s="19" t="n"/>
      <c r="E100" s="19" t="n"/>
      <c r="F100" s="19" t="n"/>
      <c r="G100" s="19" t="n"/>
      <c r="H100" s="19" t="n"/>
      <c r="I100" s="19" t="n"/>
      <c r="J100" s="19" t="n"/>
      <c r="K100" s="20" t="n"/>
      <c r="L100" s="22">
        <f>IF(OR(B100="",K100=""),"",K100-B100)</f>
        <v/>
      </c>
      <c r="M100" s="19" t="n"/>
      <c r="N100" s="19" t="n"/>
      <c r="O100" s="20" t="n"/>
      <c r="P100" s="19" t="n"/>
    </row>
    <row r="101">
      <c r="A101" s="19" t="n"/>
      <c r="B101" s="20" t="n"/>
      <c r="C101" s="21">
        <f>IF(B101="","",DATE(YEAR(B101),MONTH(B101),1))</f>
        <v/>
      </c>
      <c r="D101" s="19" t="n"/>
      <c r="E101" s="19" t="n"/>
      <c r="F101" s="19" t="n"/>
      <c r="G101" s="19" t="n"/>
      <c r="H101" s="19" t="n"/>
      <c r="I101" s="19" t="n"/>
      <c r="J101" s="19" t="n"/>
      <c r="K101" s="20" t="n"/>
      <c r="L101" s="22">
        <f>IF(OR(B101="",K101=""),"",K101-B101)</f>
        <v/>
      </c>
      <c r="M101" s="19" t="n"/>
      <c r="N101" s="19" t="n"/>
      <c r="O101" s="20" t="n"/>
      <c r="P101" s="19" t="n"/>
    </row>
    <row r="102">
      <c r="A102" s="19" t="n"/>
      <c r="B102" s="20" t="n"/>
      <c r="C102" s="21">
        <f>IF(B102="","",DATE(YEAR(B102),MONTH(B102),1))</f>
        <v/>
      </c>
      <c r="D102" s="19" t="n"/>
      <c r="E102" s="19" t="n"/>
      <c r="F102" s="19" t="n"/>
      <c r="G102" s="19" t="n"/>
      <c r="H102" s="19" t="n"/>
      <c r="I102" s="19" t="n"/>
      <c r="J102" s="19" t="n"/>
      <c r="K102" s="20" t="n"/>
      <c r="L102" s="22">
        <f>IF(OR(B102="",K102=""),"",K102-B102)</f>
        <v/>
      </c>
      <c r="M102" s="19" t="n"/>
      <c r="N102" s="19" t="n"/>
      <c r="O102" s="20" t="n"/>
      <c r="P102" s="19" t="n"/>
    </row>
    <row r="103">
      <c r="A103" s="19" t="n"/>
      <c r="B103" s="20" t="n"/>
      <c r="C103" s="21">
        <f>IF(B103="","",DATE(YEAR(B103),MONTH(B103),1))</f>
        <v/>
      </c>
      <c r="D103" s="19" t="n"/>
      <c r="E103" s="19" t="n"/>
      <c r="F103" s="19" t="n"/>
      <c r="G103" s="19" t="n"/>
      <c r="H103" s="19" t="n"/>
      <c r="I103" s="19" t="n"/>
      <c r="J103" s="19" t="n"/>
      <c r="K103" s="20" t="n"/>
      <c r="L103" s="22">
        <f>IF(OR(B103="",K103=""),"",K103-B103)</f>
        <v/>
      </c>
      <c r="M103" s="19" t="n"/>
      <c r="N103" s="19" t="n"/>
      <c r="O103" s="20" t="n"/>
      <c r="P103" s="19" t="n"/>
    </row>
    <row r="104">
      <c r="A104" s="19" t="n"/>
      <c r="B104" s="20" t="n"/>
      <c r="C104" s="21">
        <f>IF(B104="","",DATE(YEAR(B104),MONTH(B104),1))</f>
        <v/>
      </c>
      <c r="D104" s="19" t="n"/>
      <c r="E104" s="19" t="n"/>
      <c r="F104" s="19" t="n"/>
      <c r="G104" s="19" t="n"/>
      <c r="H104" s="19" t="n"/>
      <c r="I104" s="19" t="n"/>
      <c r="J104" s="19" t="n"/>
      <c r="K104" s="20" t="n"/>
      <c r="L104" s="22">
        <f>IF(OR(B104="",K104=""),"",K104-B104)</f>
        <v/>
      </c>
      <c r="M104" s="19" t="n"/>
      <c r="N104" s="19" t="n"/>
      <c r="O104" s="20" t="n"/>
      <c r="P104" s="19" t="n"/>
    </row>
    <row r="105">
      <c r="A105" s="19" t="n"/>
      <c r="B105" s="20" t="n"/>
      <c r="C105" s="21">
        <f>IF(B105="","",DATE(YEAR(B105),MONTH(B105),1))</f>
        <v/>
      </c>
      <c r="D105" s="19" t="n"/>
      <c r="E105" s="19" t="n"/>
      <c r="F105" s="19" t="n"/>
      <c r="G105" s="19" t="n"/>
      <c r="H105" s="19" t="n"/>
      <c r="I105" s="19" t="n"/>
      <c r="J105" s="19" t="n"/>
      <c r="K105" s="20" t="n"/>
      <c r="L105" s="22">
        <f>IF(OR(B105="",K105=""),"",K105-B105)</f>
        <v/>
      </c>
      <c r="M105" s="19" t="n"/>
      <c r="N105" s="19" t="n"/>
      <c r="O105" s="20" t="n"/>
      <c r="P105" s="19" t="n"/>
    </row>
    <row r="106">
      <c r="A106" s="19" t="n"/>
      <c r="B106" s="20" t="n"/>
      <c r="C106" s="21">
        <f>IF(B106="","",DATE(YEAR(B106),MONTH(B106),1))</f>
        <v/>
      </c>
      <c r="D106" s="19" t="n"/>
      <c r="E106" s="19" t="n"/>
      <c r="F106" s="19" t="n"/>
      <c r="G106" s="19" t="n"/>
      <c r="H106" s="19" t="n"/>
      <c r="I106" s="19" t="n"/>
      <c r="J106" s="19" t="n"/>
      <c r="K106" s="20" t="n"/>
      <c r="L106" s="22">
        <f>IF(OR(B106="",K106=""),"",K106-B106)</f>
        <v/>
      </c>
      <c r="M106" s="19" t="n"/>
      <c r="N106" s="19" t="n"/>
      <c r="O106" s="20" t="n"/>
      <c r="P106" s="19" t="n"/>
    </row>
    <row r="107">
      <c r="A107" s="19" t="n"/>
      <c r="B107" s="20" t="n"/>
      <c r="C107" s="21">
        <f>IF(B107="","",DATE(YEAR(B107),MONTH(B107),1))</f>
        <v/>
      </c>
      <c r="D107" s="19" t="n"/>
      <c r="E107" s="19" t="n"/>
      <c r="F107" s="19" t="n"/>
      <c r="G107" s="19" t="n"/>
      <c r="H107" s="19" t="n"/>
      <c r="I107" s="19" t="n"/>
      <c r="J107" s="19" t="n"/>
      <c r="K107" s="20" t="n"/>
      <c r="L107" s="22">
        <f>IF(OR(B107="",K107=""),"",K107-B107)</f>
        <v/>
      </c>
      <c r="M107" s="19" t="n"/>
      <c r="N107" s="19" t="n"/>
      <c r="O107" s="20" t="n"/>
      <c r="P107" s="19" t="n"/>
    </row>
    <row r="108">
      <c r="A108" s="19" t="n"/>
      <c r="B108" s="20" t="n"/>
      <c r="C108" s="21">
        <f>IF(B108="","",DATE(YEAR(B108),MONTH(B108),1))</f>
        <v/>
      </c>
      <c r="D108" s="19" t="n"/>
      <c r="E108" s="19" t="n"/>
      <c r="F108" s="19" t="n"/>
      <c r="G108" s="19" t="n"/>
      <c r="H108" s="19" t="n"/>
      <c r="I108" s="19" t="n"/>
      <c r="J108" s="19" t="n"/>
      <c r="K108" s="20" t="n"/>
      <c r="L108" s="22">
        <f>IF(OR(B108="",K108=""),"",K108-B108)</f>
        <v/>
      </c>
      <c r="M108" s="19" t="n"/>
      <c r="N108" s="19" t="n"/>
      <c r="O108" s="20" t="n"/>
      <c r="P108" s="19" t="n"/>
    </row>
    <row r="109">
      <c r="A109" s="19" t="n"/>
      <c r="B109" s="20" t="n"/>
      <c r="C109" s="21">
        <f>IF(B109="","",DATE(YEAR(B109),MONTH(B109),1))</f>
        <v/>
      </c>
      <c r="D109" s="19" t="n"/>
      <c r="E109" s="19" t="n"/>
      <c r="F109" s="19" t="n"/>
      <c r="G109" s="19" t="n"/>
      <c r="H109" s="19" t="n"/>
      <c r="I109" s="19" t="n"/>
      <c r="J109" s="19" t="n"/>
      <c r="K109" s="20" t="n"/>
      <c r="L109" s="22">
        <f>IF(OR(B109="",K109=""),"",K109-B109)</f>
        <v/>
      </c>
      <c r="M109" s="19" t="n"/>
      <c r="N109" s="19" t="n"/>
      <c r="O109" s="20" t="n"/>
      <c r="P109" s="19" t="n"/>
    </row>
    <row r="110">
      <c r="A110" s="19" t="n"/>
      <c r="B110" s="20" t="n"/>
      <c r="C110" s="21">
        <f>IF(B110="","",DATE(YEAR(B110),MONTH(B110),1))</f>
        <v/>
      </c>
      <c r="D110" s="19" t="n"/>
      <c r="E110" s="19" t="n"/>
      <c r="F110" s="19" t="n"/>
      <c r="G110" s="19" t="n"/>
      <c r="H110" s="19" t="n"/>
      <c r="I110" s="19" t="n"/>
      <c r="J110" s="19" t="n"/>
      <c r="K110" s="20" t="n"/>
      <c r="L110" s="22">
        <f>IF(OR(B110="",K110=""),"",K110-B110)</f>
        <v/>
      </c>
      <c r="M110" s="19" t="n"/>
      <c r="N110" s="19" t="n"/>
      <c r="O110" s="20" t="n"/>
      <c r="P110" s="19" t="n"/>
    </row>
    <row r="111">
      <c r="A111" s="19" t="n"/>
      <c r="B111" s="20" t="n"/>
      <c r="C111" s="21">
        <f>IF(B111="","",DATE(YEAR(B111),MONTH(B111),1))</f>
        <v/>
      </c>
      <c r="D111" s="19" t="n"/>
      <c r="E111" s="19" t="n"/>
      <c r="F111" s="19" t="n"/>
      <c r="G111" s="19" t="n"/>
      <c r="H111" s="19" t="n"/>
      <c r="I111" s="19" t="n"/>
      <c r="J111" s="19" t="n"/>
      <c r="K111" s="20" t="n"/>
      <c r="L111" s="22">
        <f>IF(OR(B111="",K111=""),"",K111-B111)</f>
        <v/>
      </c>
      <c r="M111" s="19" t="n"/>
      <c r="N111" s="19" t="n"/>
      <c r="O111" s="20" t="n"/>
      <c r="P111" s="19" t="n"/>
    </row>
    <row r="112">
      <c r="A112" s="19" t="n"/>
      <c r="B112" s="20" t="n"/>
      <c r="C112" s="21">
        <f>IF(B112="","",DATE(YEAR(B112),MONTH(B112),1))</f>
        <v/>
      </c>
      <c r="D112" s="19" t="n"/>
      <c r="E112" s="19" t="n"/>
      <c r="F112" s="19" t="n"/>
      <c r="G112" s="19" t="n"/>
      <c r="H112" s="19" t="n"/>
      <c r="I112" s="19" t="n"/>
      <c r="J112" s="19" t="n"/>
      <c r="K112" s="20" t="n"/>
      <c r="L112" s="22">
        <f>IF(OR(B112="",K112=""),"",K112-B112)</f>
        <v/>
      </c>
      <c r="M112" s="19" t="n"/>
      <c r="N112" s="19" t="n"/>
      <c r="O112" s="20" t="n"/>
      <c r="P112" s="19" t="n"/>
    </row>
    <row r="113">
      <c r="A113" s="19" t="n"/>
      <c r="B113" s="20" t="n"/>
      <c r="C113" s="21">
        <f>IF(B113="","",DATE(YEAR(B113),MONTH(B113),1))</f>
        <v/>
      </c>
      <c r="D113" s="19" t="n"/>
      <c r="E113" s="19" t="n"/>
      <c r="F113" s="19" t="n"/>
      <c r="G113" s="19" t="n"/>
      <c r="H113" s="19" t="n"/>
      <c r="I113" s="19" t="n"/>
      <c r="J113" s="19" t="n"/>
      <c r="K113" s="20" t="n"/>
      <c r="L113" s="22">
        <f>IF(OR(B113="",K113=""),"",K113-B113)</f>
        <v/>
      </c>
      <c r="M113" s="19" t="n"/>
      <c r="N113" s="19" t="n"/>
      <c r="O113" s="20" t="n"/>
      <c r="P113" s="19" t="n"/>
    </row>
    <row r="114">
      <c r="A114" s="19" t="n"/>
      <c r="B114" s="20" t="n"/>
      <c r="C114" s="21">
        <f>IF(B114="","",DATE(YEAR(B114),MONTH(B114),1))</f>
        <v/>
      </c>
      <c r="D114" s="19" t="n"/>
      <c r="E114" s="19" t="n"/>
      <c r="F114" s="19" t="n"/>
      <c r="G114" s="19" t="n"/>
      <c r="H114" s="19" t="n"/>
      <c r="I114" s="19" t="n"/>
      <c r="J114" s="19" t="n"/>
      <c r="K114" s="20" t="n"/>
      <c r="L114" s="22">
        <f>IF(OR(B114="",K114=""),"",K114-B114)</f>
        <v/>
      </c>
      <c r="M114" s="19" t="n"/>
      <c r="N114" s="19" t="n"/>
      <c r="O114" s="20" t="n"/>
      <c r="P114" s="19" t="n"/>
    </row>
    <row r="115">
      <c r="A115" s="19" t="n"/>
      <c r="B115" s="20" t="n"/>
      <c r="C115" s="21">
        <f>IF(B115="","",DATE(YEAR(B115),MONTH(B115),1))</f>
        <v/>
      </c>
      <c r="D115" s="19" t="n"/>
      <c r="E115" s="19" t="n"/>
      <c r="F115" s="19" t="n"/>
      <c r="G115" s="19" t="n"/>
      <c r="H115" s="19" t="n"/>
      <c r="I115" s="19" t="n"/>
      <c r="J115" s="19" t="n"/>
      <c r="K115" s="20" t="n"/>
      <c r="L115" s="22">
        <f>IF(OR(B115="",K115=""),"",K115-B115)</f>
        <v/>
      </c>
      <c r="M115" s="19" t="n"/>
      <c r="N115" s="19" t="n"/>
      <c r="O115" s="20" t="n"/>
      <c r="P115" s="19" t="n"/>
    </row>
    <row r="116">
      <c r="A116" s="19" t="n"/>
      <c r="B116" s="20" t="n"/>
      <c r="C116" s="21">
        <f>IF(B116="","",DATE(YEAR(B116),MONTH(B116),1))</f>
        <v/>
      </c>
      <c r="D116" s="19" t="n"/>
      <c r="E116" s="19" t="n"/>
      <c r="F116" s="19" t="n"/>
      <c r="G116" s="19" t="n"/>
      <c r="H116" s="19" t="n"/>
      <c r="I116" s="19" t="n"/>
      <c r="J116" s="19" t="n"/>
      <c r="K116" s="20" t="n"/>
      <c r="L116" s="22">
        <f>IF(OR(B116="",K116=""),"",K116-B116)</f>
        <v/>
      </c>
      <c r="M116" s="19" t="n"/>
      <c r="N116" s="19" t="n"/>
      <c r="O116" s="20" t="n"/>
      <c r="P116" s="19" t="n"/>
    </row>
    <row r="117">
      <c r="A117" s="19" t="n"/>
      <c r="B117" s="20" t="n"/>
      <c r="C117" s="21">
        <f>IF(B117="","",DATE(YEAR(B117),MONTH(B117),1))</f>
        <v/>
      </c>
      <c r="D117" s="19" t="n"/>
      <c r="E117" s="19" t="n"/>
      <c r="F117" s="19" t="n"/>
      <c r="G117" s="19" t="n"/>
      <c r="H117" s="19" t="n"/>
      <c r="I117" s="19" t="n"/>
      <c r="J117" s="19" t="n"/>
      <c r="K117" s="20" t="n"/>
      <c r="L117" s="22">
        <f>IF(OR(B117="",K117=""),"",K117-B117)</f>
        <v/>
      </c>
      <c r="M117" s="19" t="n"/>
      <c r="N117" s="19" t="n"/>
      <c r="O117" s="20" t="n"/>
      <c r="P117" s="19" t="n"/>
    </row>
    <row r="118">
      <c r="A118" s="19" t="n"/>
      <c r="B118" s="20" t="n"/>
      <c r="C118" s="21">
        <f>IF(B118="","",DATE(YEAR(B118),MONTH(B118),1))</f>
        <v/>
      </c>
      <c r="D118" s="19" t="n"/>
      <c r="E118" s="19" t="n"/>
      <c r="F118" s="19" t="n"/>
      <c r="G118" s="19" t="n"/>
      <c r="H118" s="19" t="n"/>
      <c r="I118" s="19" t="n"/>
      <c r="J118" s="19" t="n"/>
      <c r="K118" s="20" t="n"/>
      <c r="L118" s="22">
        <f>IF(OR(B118="",K118=""),"",K118-B118)</f>
        <v/>
      </c>
      <c r="M118" s="19" t="n"/>
      <c r="N118" s="19" t="n"/>
      <c r="O118" s="20" t="n"/>
      <c r="P118" s="19" t="n"/>
    </row>
    <row r="119">
      <c r="A119" s="19" t="n"/>
      <c r="B119" s="20" t="n"/>
      <c r="C119" s="21">
        <f>IF(B119="","",DATE(YEAR(B119),MONTH(B119),1))</f>
        <v/>
      </c>
      <c r="D119" s="19" t="n"/>
      <c r="E119" s="19" t="n"/>
      <c r="F119" s="19" t="n"/>
      <c r="G119" s="19" t="n"/>
      <c r="H119" s="19" t="n"/>
      <c r="I119" s="19" t="n"/>
      <c r="J119" s="19" t="n"/>
      <c r="K119" s="20" t="n"/>
      <c r="L119" s="22">
        <f>IF(OR(B119="",K119=""),"",K119-B119)</f>
        <v/>
      </c>
      <c r="M119" s="19" t="n"/>
      <c r="N119" s="19" t="n"/>
      <c r="O119" s="20" t="n"/>
      <c r="P119" s="19" t="n"/>
    </row>
    <row r="120">
      <c r="A120" s="19" t="n"/>
      <c r="B120" s="20" t="n"/>
      <c r="C120" s="21">
        <f>IF(B120="","",DATE(YEAR(B120),MONTH(B120),1))</f>
        <v/>
      </c>
      <c r="D120" s="19" t="n"/>
      <c r="E120" s="19" t="n"/>
      <c r="F120" s="19" t="n"/>
      <c r="G120" s="19" t="n"/>
      <c r="H120" s="19" t="n"/>
      <c r="I120" s="19" t="n"/>
      <c r="J120" s="19" t="n"/>
      <c r="K120" s="20" t="n"/>
      <c r="L120" s="22">
        <f>IF(OR(B120="",K120=""),"",K120-B120)</f>
        <v/>
      </c>
      <c r="M120" s="19" t="n"/>
      <c r="N120" s="19" t="n"/>
      <c r="O120" s="20" t="n"/>
      <c r="P120" s="19" t="n"/>
    </row>
    <row r="121">
      <c r="A121" s="19" t="n"/>
      <c r="B121" s="20" t="n"/>
      <c r="C121" s="21">
        <f>IF(B121="","",DATE(YEAR(B121),MONTH(B121),1))</f>
        <v/>
      </c>
      <c r="D121" s="19" t="n"/>
      <c r="E121" s="19" t="n"/>
      <c r="F121" s="19" t="n"/>
      <c r="G121" s="19" t="n"/>
      <c r="H121" s="19" t="n"/>
      <c r="I121" s="19" t="n"/>
      <c r="J121" s="19" t="n"/>
      <c r="K121" s="20" t="n"/>
      <c r="L121" s="22">
        <f>IF(OR(B121="",K121=""),"",K121-B121)</f>
        <v/>
      </c>
      <c r="M121" s="19" t="n"/>
      <c r="N121" s="19" t="n"/>
      <c r="O121" s="20" t="n"/>
      <c r="P121" s="19" t="n"/>
    </row>
    <row r="122">
      <c r="A122" s="19" t="n"/>
      <c r="B122" s="20" t="n"/>
      <c r="C122" s="21">
        <f>IF(B122="","",DATE(YEAR(B122),MONTH(B122),1))</f>
        <v/>
      </c>
      <c r="D122" s="19" t="n"/>
      <c r="E122" s="19" t="n"/>
      <c r="F122" s="19" t="n"/>
      <c r="G122" s="19" t="n"/>
      <c r="H122" s="19" t="n"/>
      <c r="I122" s="19" t="n"/>
      <c r="J122" s="19" t="n"/>
      <c r="K122" s="20" t="n"/>
      <c r="L122" s="22">
        <f>IF(OR(B122="",K122=""),"",K122-B122)</f>
        <v/>
      </c>
      <c r="M122" s="19" t="n"/>
      <c r="N122" s="19" t="n"/>
      <c r="O122" s="20" t="n"/>
      <c r="P122" s="19" t="n"/>
    </row>
    <row r="123">
      <c r="A123" s="19" t="n"/>
      <c r="B123" s="20" t="n"/>
      <c r="C123" s="21">
        <f>IF(B123="","",DATE(YEAR(B123),MONTH(B123),1))</f>
        <v/>
      </c>
      <c r="D123" s="19" t="n"/>
      <c r="E123" s="19" t="n"/>
      <c r="F123" s="19" t="n"/>
      <c r="G123" s="19" t="n"/>
      <c r="H123" s="19" t="n"/>
      <c r="I123" s="19" t="n"/>
      <c r="J123" s="19" t="n"/>
      <c r="K123" s="20" t="n"/>
      <c r="L123" s="22">
        <f>IF(OR(B123="",K123=""),"",K123-B123)</f>
        <v/>
      </c>
      <c r="M123" s="19" t="n"/>
      <c r="N123" s="19" t="n"/>
      <c r="O123" s="20" t="n"/>
      <c r="P123" s="19" t="n"/>
    </row>
    <row r="124">
      <c r="A124" s="19" t="n"/>
      <c r="B124" s="20" t="n"/>
      <c r="C124" s="21">
        <f>IF(B124="","",DATE(YEAR(B124),MONTH(B124),1))</f>
        <v/>
      </c>
      <c r="D124" s="19" t="n"/>
      <c r="E124" s="19" t="n"/>
      <c r="F124" s="19" t="n"/>
      <c r="G124" s="19" t="n"/>
      <c r="H124" s="19" t="n"/>
      <c r="I124" s="19" t="n"/>
      <c r="J124" s="19" t="n"/>
      <c r="K124" s="20" t="n"/>
      <c r="L124" s="22">
        <f>IF(OR(B124="",K124=""),"",K124-B124)</f>
        <v/>
      </c>
      <c r="M124" s="19" t="n"/>
      <c r="N124" s="19" t="n"/>
      <c r="O124" s="20" t="n"/>
      <c r="P124" s="19" t="n"/>
    </row>
    <row r="125">
      <c r="A125" s="19" t="n"/>
      <c r="B125" s="20" t="n"/>
      <c r="C125" s="21">
        <f>IF(B125="","",DATE(YEAR(B125),MONTH(B125),1))</f>
        <v/>
      </c>
      <c r="D125" s="19" t="n"/>
      <c r="E125" s="19" t="n"/>
      <c r="F125" s="19" t="n"/>
      <c r="G125" s="19" t="n"/>
      <c r="H125" s="19" t="n"/>
      <c r="I125" s="19" t="n"/>
      <c r="J125" s="19" t="n"/>
      <c r="K125" s="20" t="n"/>
      <c r="L125" s="22">
        <f>IF(OR(B125="",K125=""),"",K125-B125)</f>
        <v/>
      </c>
      <c r="M125" s="19" t="n"/>
      <c r="N125" s="19" t="n"/>
      <c r="O125" s="20" t="n"/>
      <c r="P125" s="19" t="n"/>
    </row>
    <row r="126">
      <c r="A126" s="19" t="n"/>
      <c r="B126" s="20" t="n"/>
      <c r="C126" s="21">
        <f>IF(B126="","",DATE(YEAR(B126),MONTH(B126),1))</f>
        <v/>
      </c>
      <c r="D126" s="19" t="n"/>
      <c r="E126" s="19" t="n"/>
      <c r="F126" s="19" t="n"/>
      <c r="G126" s="19" t="n"/>
      <c r="H126" s="19" t="n"/>
      <c r="I126" s="19" t="n"/>
      <c r="J126" s="19" t="n"/>
      <c r="K126" s="20" t="n"/>
      <c r="L126" s="22">
        <f>IF(OR(B126="",K126=""),"",K126-B126)</f>
        <v/>
      </c>
      <c r="M126" s="19" t="n"/>
      <c r="N126" s="19" t="n"/>
      <c r="O126" s="20" t="n"/>
      <c r="P126" s="19" t="n"/>
    </row>
    <row r="127">
      <c r="A127" s="19" t="n"/>
      <c r="B127" s="20" t="n"/>
      <c r="C127" s="21">
        <f>IF(B127="","",DATE(YEAR(B127),MONTH(B127),1))</f>
        <v/>
      </c>
      <c r="D127" s="19" t="n"/>
      <c r="E127" s="19" t="n"/>
      <c r="F127" s="19" t="n"/>
      <c r="G127" s="19" t="n"/>
      <c r="H127" s="19" t="n"/>
      <c r="I127" s="19" t="n"/>
      <c r="J127" s="19" t="n"/>
      <c r="K127" s="20" t="n"/>
      <c r="L127" s="22">
        <f>IF(OR(B127="",K127=""),"",K127-B127)</f>
        <v/>
      </c>
      <c r="M127" s="19" t="n"/>
      <c r="N127" s="19" t="n"/>
      <c r="O127" s="20" t="n"/>
      <c r="P127" s="19" t="n"/>
    </row>
    <row r="128">
      <c r="A128" s="19" t="n"/>
      <c r="B128" s="20" t="n"/>
      <c r="C128" s="21">
        <f>IF(B128="","",DATE(YEAR(B128),MONTH(B128),1))</f>
        <v/>
      </c>
      <c r="D128" s="19" t="n"/>
      <c r="E128" s="19" t="n"/>
      <c r="F128" s="19" t="n"/>
      <c r="G128" s="19" t="n"/>
      <c r="H128" s="19" t="n"/>
      <c r="I128" s="19" t="n"/>
      <c r="J128" s="19" t="n"/>
      <c r="K128" s="20" t="n"/>
      <c r="L128" s="22">
        <f>IF(OR(B128="",K128=""),"",K128-B128)</f>
        <v/>
      </c>
      <c r="M128" s="19" t="n"/>
      <c r="N128" s="19" t="n"/>
      <c r="O128" s="20" t="n"/>
      <c r="P128" s="19" t="n"/>
    </row>
    <row r="129">
      <c r="A129" s="19" t="n"/>
      <c r="B129" s="20" t="n"/>
      <c r="C129" s="21">
        <f>IF(B129="","",DATE(YEAR(B129),MONTH(B129),1))</f>
        <v/>
      </c>
      <c r="D129" s="19" t="n"/>
      <c r="E129" s="19" t="n"/>
      <c r="F129" s="19" t="n"/>
      <c r="G129" s="19" t="n"/>
      <c r="H129" s="19" t="n"/>
      <c r="I129" s="19" t="n"/>
      <c r="J129" s="19" t="n"/>
      <c r="K129" s="20" t="n"/>
      <c r="L129" s="22">
        <f>IF(OR(B129="",K129=""),"",K129-B129)</f>
        <v/>
      </c>
      <c r="M129" s="19" t="n"/>
      <c r="N129" s="19" t="n"/>
      <c r="O129" s="20" t="n"/>
      <c r="P129" s="19" t="n"/>
    </row>
    <row r="130">
      <c r="A130" s="19" t="n"/>
      <c r="B130" s="20" t="n"/>
      <c r="C130" s="21">
        <f>IF(B130="","",DATE(YEAR(B130),MONTH(B130),1))</f>
        <v/>
      </c>
      <c r="D130" s="19" t="n"/>
      <c r="E130" s="19" t="n"/>
      <c r="F130" s="19" t="n"/>
      <c r="G130" s="19" t="n"/>
      <c r="H130" s="19" t="n"/>
      <c r="I130" s="19" t="n"/>
      <c r="J130" s="19" t="n"/>
      <c r="K130" s="20" t="n"/>
      <c r="L130" s="22">
        <f>IF(OR(B130="",K130=""),"",K130-B130)</f>
        <v/>
      </c>
      <c r="M130" s="19" t="n"/>
      <c r="N130" s="19" t="n"/>
      <c r="O130" s="20" t="n"/>
      <c r="P130" s="19" t="n"/>
    </row>
    <row r="131">
      <c r="A131" s="19" t="n"/>
      <c r="B131" s="20" t="n"/>
      <c r="C131" s="21">
        <f>IF(B131="","",DATE(YEAR(B131),MONTH(B131),1))</f>
        <v/>
      </c>
      <c r="D131" s="19" t="n"/>
      <c r="E131" s="19" t="n"/>
      <c r="F131" s="19" t="n"/>
      <c r="G131" s="19" t="n"/>
      <c r="H131" s="19" t="n"/>
      <c r="I131" s="19" t="n"/>
      <c r="J131" s="19" t="n"/>
      <c r="K131" s="20" t="n"/>
      <c r="L131" s="22">
        <f>IF(OR(B131="",K131=""),"",K131-B131)</f>
        <v/>
      </c>
      <c r="M131" s="19" t="n"/>
      <c r="N131" s="19" t="n"/>
      <c r="O131" s="20" t="n"/>
      <c r="P131" s="19" t="n"/>
    </row>
    <row r="132">
      <c r="A132" s="19" t="n"/>
      <c r="B132" s="20" t="n"/>
      <c r="C132" s="21">
        <f>IF(B132="","",DATE(YEAR(B132),MONTH(B132),1))</f>
        <v/>
      </c>
      <c r="D132" s="19" t="n"/>
      <c r="E132" s="19" t="n"/>
      <c r="F132" s="19" t="n"/>
      <c r="G132" s="19" t="n"/>
      <c r="H132" s="19" t="n"/>
      <c r="I132" s="19" t="n"/>
      <c r="J132" s="19" t="n"/>
      <c r="K132" s="20" t="n"/>
      <c r="L132" s="22">
        <f>IF(OR(B132="",K132=""),"",K132-B132)</f>
        <v/>
      </c>
      <c r="M132" s="19" t="n"/>
      <c r="N132" s="19" t="n"/>
      <c r="O132" s="20" t="n"/>
      <c r="P132" s="19" t="n"/>
    </row>
    <row r="133">
      <c r="A133" s="19" t="n"/>
      <c r="B133" s="20" t="n"/>
      <c r="C133" s="21">
        <f>IF(B133="","",DATE(YEAR(B133),MONTH(B133),1))</f>
        <v/>
      </c>
      <c r="D133" s="19" t="n"/>
      <c r="E133" s="19" t="n"/>
      <c r="F133" s="19" t="n"/>
      <c r="G133" s="19" t="n"/>
      <c r="H133" s="19" t="n"/>
      <c r="I133" s="19" t="n"/>
      <c r="J133" s="19" t="n"/>
      <c r="K133" s="20" t="n"/>
      <c r="L133" s="22">
        <f>IF(OR(B133="",K133=""),"",K133-B133)</f>
        <v/>
      </c>
      <c r="M133" s="19" t="n"/>
      <c r="N133" s="19" t="n"/>
      <c r="O133" s="20" t="n"/>
      <c r="P133" s="19" t="n"/>
    </row>
    <row r="134">
      <c r="A134" s="19" t="n"/>
      <c r="B134" s="20" t="n"/>
      <c r="C134" s="21">
        <f>IF(B134="","",DATE(YEAR(B134),MONTH(B134),1))</f>
        <v/>
      </c>
      <c r="D134" s="19" t="n"/>
      <c r="E134" s="19" t="n"/>
      <c r="F134" s="19" t="n"/>
      <c r="G134" s="19" t="n"/>
      <c r="H134" s="19" t="n"/>
      <c r="I134" s="19" t="n"/>
      <c r="J134" s="19" t="n"/>
      <c r="K134" s="20" t="n"/>
      <c r="L134" s="22">
        <f>IF(OR(B134="",K134=""),"",K134-B134)</f>
        <v/>
      </c>
      <c r="M134" s="19" t="n"/>
      <c r="N134" s="19" t="n"/>
      <c r="O134" s="20" t="n"/>
      <c r="P134" s="19" t="n"/>
    </row>
    <row r="135">
      <c r="A135" s="19" t="n"/>
      <c r="B135" s="20" t="n"/>
      <c r="C135" s="21">
        <f>IF(B135="","",DATE(YEAR(B135),MONTH(B135),1))</f>
        <v/>
      </c>
      <c r="D135" s="19" t="n"/>
      <c r="E135" s="19" t="n"/>
      <c r="F135" s="19" t="n"/>
      <c r="G135" s="19" t="n"/>
      <c r="H135" s="19" t="n"/>
      <c r="I135" s="19" t="n"/>
      <c r="J135" s="19" t="n"/>
      <c r="K135" s="20" t="n"/>
      <c r="L135" s="22">
        <f>IF(OR(B135="",K135=""),"",K135-B135)</f>
        <v/>
      </c>
      <c r="M135" s="19" t="n"/>
      <c r="N135" s="19" t="n"/>
      <c r="O135" s="20" t="n"/>
      <c r="P135" s="19" t="n"/>
    </row>
    <row r="136">
      <c r="A136" s="19" t="n"/>
      <c r="B136" s="20" t="n"/>
      <c r="C136" s="21">
        <f>IF(B136="","",DATE(YEAR(B136),MONTH(B136),1))</f>
        <v/>
      </c>
      <c r="D136" s="19" t="n"/>
      <c r="E136" s="19" t="n"/>
      <c r="F136" s="19" t="n"/>
      <c r="G136" s="19" t="n"/>
      <c r="H136" s="19" t="n"/>
      <c r="I136" s="19" t="n"/>
      <c r="J136" s="19" t="n"/>
      <c r="K136" s="20" t="n"/>
      <c r="L136" s="22">
        <f>IF(OR(B136="",K136=""),"",K136-B136)</f>
        <v/>
      </c>
      <c r="M136" s="19" t="n"/>
      <c r="N136" s="19" t="n"/>
      <c r="O136" s="20" t="n"/>
      <c r="P136" s="19" t="n"/>
    </row>
    <row r="137">
      <c r="A137" s="19" t="n"/>
      <c r="B137" s="20" t="n"/>
      <c r="C137" s="21">
        <f>IF(B137="","",DATE(YEAR(B137),MONTH(B137),1))</f>
        <v/>
      </c>
      <c r="D137" s="19" t="n"/>
      <c r="E137" s="19" t="n"/>
      <c r="F137" s="19" t="n"/>
      <c r="G137" s="19" t="n"/>
      <c r="H137" s="19" t="n"/>
      <c r="I137" s="19" t="n"/>
      <c r="J137" s="19" t="n"/>
      <c r="K137" s="20" t="n"/>
      <c r="L137" s="22">
        <f>IF(OR(B137="",K137=""),"",K137-B137)</f>
        <v/>
      </c>
      <c r="M137" s="19" t="n"/>
      <c r="N137" s="19" t="n"/>
      <c r="O137" s="20" t="n"/>
      <c r="P137" s="19" t="n"/>
    </row>
    <row r="138">
      <c r="A138" s="19" t="n"/>
      <c r="B138" s="20" t="n"/>
      <c r="C138" s="21">
        <f>IF(B138="","",DATE(YEAR(B138),MONTH(B138),1))</f>
        <v/>
      </c>
      <c r="D138" s="19" t="n"/>
      <c r="E138" s="19" t="n"/>
      <c r="F138" s="19" t="n"/>
      <c r="G138" s="19" t="n"/>
      <c r="H138" s="19" t="n"/>
      <c r="I138" s="19" t="n"/>
      <c r="J138" s="19" t="n"/>
      <c r="K138" s="20" t="n"/>
      <c r="L138" s="22">
        <f>IF(OR(B138="",K138=""),"",K138-B138)</f>
        <v/>
      </c>
      <c r="M138" s="19" t="n"/>
      <c r="N138" s="19" t="n"/>
      <c r="O138" s="20" t="n"/>
      <c r="P138" s="19" t="n"/>
    </row>
    <row r="139">
      <c r="A139" s="19" t="n"/>
      <c r="B139" s="20" t="n"/>
      <c r="C139" s="21">
        <f>IF(B139="","",DATE(YEAR(B139),MONTH(B139),1))</f>
        <v/>
      </c>
      <c r="D139" s="19" t="n"/>
      <c r="E139" s="19" t="n"/>
      <c r="F139" s="19" t="n"/>
      <c r="G139" s="19" t="n"/>
      <c r="H139" s="19" t="n"/>
      <c r="I139" s="19" t="n"/>
      <c r="J139" s="19" t="n"/>
      <c r="K139" s="20" t="n"/>
      <c r="L139" s="22">
        <f>IF(OR(B139="",K139=""),"",K139-B139)</f>
        <v/>
      </c>
      <c r="M139" s="19" t="n"/>
      <c r="N139" s="19" t="n"/>
      <c r="O139" s="20" t="n"/>
      <c r="P139" s="19" t="n"/>
    </row>
    <row r="140">
      <c r="A140" s="19" t="n"/>
      <c r="B140" s="20" t="n"/>
      <c r="C140" s="21">
        <f>IF(B140="","",DATE(YEAR(B140),MONTH(B140),1))</f>
        <v/>
      </c>
      <c r="D140" s="19" t="n"/>
      <c r="E140" s="19" t="n"/>
      <c r="F140" s="19" t="n"/>
      <c r="G140" s="19" t="n"/>
      <c r="H140" s="19" t="n"/>
      <c r="I140" s="19" t="n"/>
      <c r="J140" s="19" t="n"/>
      <c r="K140" s="20" t="n"/>
      <c r="L140" s="22">
        <f>IF(OR(B140="",K140=""),"",K140-B140)</f>
        <v/>
      </c>
      <c r="M140" s="19" t="n"/>
      <c r="N140" s="19" t="n"/>
      <c r="O140" s="20" t="n"/>
      <c r="P140" s="19" t="n"/>
    </row>
    <row r="141">
      <c r="A141" s="19" t="n"/>
      <c r="B141" s="20" t="n"/>
      <c r="C141" s="21">
        <f>IF(B141="","",DATE(YEAR(B141),MONTH(B141),1))</f>
        <v/>
      </c>
      <c r="D141" s="19" t="n"/>
      <c r="E141" s="19" t="n"/>
      <c r="F141" s="19" t="n"/>
      <c r="G141" s="19" t="n"/>
      <c r="H141" s="19" t="n"/>
      <c r="I141" s="19" t="n"/>
      <c r="J141" s="19" t="n"/>
      <c r="K141" s="20" t="n"/>
      <c r="L141" s="22">
        <f>IF(OR(B141="",K141=""),"",K141-B141)</f>
        <v/>
      </c>
      <c r="M141" s="19" t="n"/>
      <c r="N141" s="19" t="n"/>
      <c r="O141" s="20" t="n"/>
      <c r="P141" s="19" t="n"/>
    </row>
    <row r="142">
      <c r="A142" s="19" t="n"/>
      <c r="B142" s="20" t="n"/>
      <c r="C142" s="21">
        <f>IF(B142="","",DATE(YEAR(B142),MONTH(B142),1))</f>
        <v/>
      </c>
      <c r="D142" s="19" t="n"/>
      <c r="E142" s="19" t="n"/>
      <c r="F142" s="19" t="n"/>
      <c r="G142" s="19" t="n"/>
      <c r="H142" s="19" t="n"/>
      <c r="I142" s="19" t="n"/>
      <c r="J142" s="19" t="n"/>
      <c r="K142" s="20" t="n"/>
      <c r="L142" s="22">
        <f>IF(OR(B142="",K142=""),"",K142-B142)</f>
        <v/>
      </c>
      <c r="M142" s="19" t="n"/>
      <c r="N142" s="19" t="n"/>
      <c r="O142" s="20" t="n"/>
      <c r="P142" s="19" t="n"/>
    </row>
    <row r="143">
      <c r="A143" s="19" t="n"/>
      <c r="B143" s="20" t="n"/>
      <c r="C143" s="21">
        <f>IF(B143="","",DATE(YEAR(B143),MONTH(B143),1))</f>
        <v/>
      </c>
      <c r="D143" s="19" t="n"/>
      <c r="E143" s="19" t="n"/>
      <c r="F143" s="19" t="n"/>
      <c r="G143" s="19" t="n"/>
      <c r="H143" s="19" t="n"/>
      <c r="I143" s="19" t="n"/>
      <c r="J143" s="19" t="n"/>
      <c r="K143" s="20" t="n"/>
      <c r="L143" s="22">
        <f>IF(OR(B143="",K143=""),"",K143-B143)</f>
        <v/>
      </c>
      <c r="M143" s="19" t="n"/>
      <c r="N143" s="19" t="n"/>
      <c r="O143" s="20" t="n"/>
      <c r="P143" s="19" t="n"/>
    </row>
    <row r="144">
      <c r="A144" s="19" t="n"/>
      <c r="B144" s="20" t="n"/>
      <c r="C144" s="21">
        <f>IF(B144="","",DATE(YEAR(B144),MONTH(B144),1))</f>
        <v/>
      </c>
      <c r="D144" s="19" t="n"/>
      <c r="E144" s="19" t="n"/>
      <c r="F144" s="19" t="n"/>
      <c r="G144" s="19" t="n"/>
      <c r="H144" s="19" t="n"/>
      <c r="I144" s="19" t="n"/>
      <c r="J144" s="19" t="n"/>
      <c r="K144" s="20" t="n"/>
      <c r="L144" s="22">
        <f>IF(OR(B144="",K144=""),"",K144-B144)</f>
        <v/>
      </c>
      <c r="M144" s="19" t="n"/>
      <c r="N144" s="19" t="n"/>
      <c r="O144" s="20" t="n"/>
      <c r="P144" s="19" t="n"/>
    </row>
    <row r="145">
      <c r="A145" s="19" t="n"/>
      <c r="B145" s="20" t="n"/>
      <c r="C145" s="21">
        <f>IF(B145="","",DATE(YEAR(B145),MONTH(B145),1))</f>
        <v/>
      </c>
      <c r="D145" s="19" t="n"/>
      <c r="E145" s="19" t="n"/>
      <c r="F145" s="19" t="n"/>
      <c r="G145" s="19" t="n"/>
      <c r="H145" s="19" t="n"/>
      <c r="I145" s="19" t="n"/>
      <c r="J145" s="19" t="n"/>
      <c r="K145" s="20" t="n"/>
      <c r="L145" s="22">
        <f>IF(OR(B145="",K145=""),"",K145-B145)</f>
        <v/>
      </c>
      <c r="M145" s="19" t="n"/>
      <c r="N145" s="19" t="n"/>
      <c r="O145" s="20" t="n"/>
      <c r="P145" s="19" t="n"/>
    </row>
    <row r="146">
      <c r="A146" s="19" t="n"/>
      <c r="B146" s="20" t="n"/>
      <c r="C146" s="21">
        <f>IF(B146="","",DATE(YEAR(B146),MONTH(B146),1))</f>
        <v/>
      </c>
      <c r="D146" s="19" t="n"/>
      <c r="E146" s="19" t="n"/>
      <c r="F146" s="19" t="n"/>
      <c r="G146" s="19" t="n"/>
      <c r="H146" s="19" t="n"/>
      <c r="I146" s="19" t="n"/>
      <c r="J146" s="19" t="n"/>
      <c r="K146" s="20" t="n"/>
      <c r="L146" s="22">
        <f>IF(OR(B146="",K146=""),"",K146-B146)</f>
        <v/>
      </c>
      <c r="M146" s="19" t="n"/>
      <c r="N146" s="19" t="n"/>
      <c r="O146" s="20" t="n"/>
      <c r="P146" s="19" t="n"/>
    </row>
    <row r="147">
      <c r="A147" s="19" t="n"/>
      <c r="B147" s="20" t="n"/>
      <c r="C147" s="21">
        <f>IF(B147="","",DATE(YEAR(B147),MONTH(B147),1))</f>
        <v/>
      </c>
      <c r="D147" s="19" t="n"/>
      <c r="E147" s="19" t="n"/>
      <c r="F147" s="19" t="n"/>
      <c r="G147" s="19" t="n"/>
      <c r="H147" s="19" t="n"/>
      <c r="I147" s="19" t="n"/>
      <c r="J147" s="19" t="n"/>
      <c r="K147" s="20" t="n"/>
      <c r="L147" s="22">
        <f>IF(OR(B147="",K147=""),"",K147-B147)</f>
        <v/>
      </c>
      <c r="M147" s="19" t="n"/>
      <c r="N147" s="19" t="n"/>
      <c r="O147" s="20" t="n"/>
      <c r="P147" s="19" t="n"/>
    </row>
    <row r="148">
      <c r="A148" s="19" t="n"/>
      <c r="B148" s="20" t="n"/>
      <c r="C148" s="21">
        <f>IF(B148="","",DATE(YEAR(B148),MONTH(B148),1))</f>
        <v/>
      </c>
      <c r="D148" s="19" t="n"/>
      <c r="E148" s="19" t="n"/>
      <c r="F148" s="19" t="n"/>
      <c r="G148" s="19" t="n"/>
      <c r="H148" s="19" t="n"/>
      <c r="I148" s="19" t="n"/>
      <c r="J148" s="19" t="n"/>
      <c r="K148" s="20" t="n"/>
      <c r="L148" s="22">
        <f>IF(OR(B148="",K148=""),"",K148-B148)</f>
        <v/>
      </c>
      <c r="M148" s="19" t="n"/>
      <c r="N148" s="19" t="n"/>
      <c r="O148" s="20" t="n"/>
      <c r="P148" s="19" t="n"/>
    </row>
    <row r="149">
      <c r="A149" s="19" t="n"/>
      <c r="B149" s="20" t="n"/>
      <c r="C149" s="21">
        <f>IF(B149="","",DATE(YEAR(B149),MONTH(B149),1))</f>
        <v/>
      </c>
      <c r="D149" s="19" t="n"/>
      <c r="E149" s="19" t="n"/>
      <c r="F149" s="19" t="n"/>
      <c r="G149" s="19" t="n"/>
      <c r="H149" s="19" t="n"/>
      <c r="I149" s="19" t="n"/>
      <c r="J149" s="19" t="n"/>
      <c r="K149" s="20" t="n"/>
      <c r="L149" s="22">
        <f>IF(OR(B149="",K149=""),"",K149-B149)</f>
        <v/>
      </c>
      <c r="M149" s="19" t="n"/>
      <c r="N149" s="19" t="n"/>
      <c r="O149" s="20" t="n"/>
      <c r="P149" s="19" t="n"/>
    </row>
    <row r="150">
      <c r="A150" s="19" t="n"/>
      <c r="B150" s="20" t="n"/>
      <c r="C150" s="21">
        <f>IF(B150="","",DATE(YEAR(B150),MONTH(B150),1))</f>
        <v/>
      </c>
      <c r="D150" s="19" t="n"/>
      <c r="E150" s="19" t="n"/>
      <c r="F150" s="19" t="n"/>
      <c r="G150" s="19" t="n"/>
      <c r="H150" s="19" t="n"/>
      <c r="I150" s="19" t="n"/>
      <c r="J150" s="19" t="n"/>
      <c r="K150" s="20" t="n"/>
      <c r="L150" s="22">
        <f>IF(OR(B150="",K150=""),"",K150-B150)</f>
        <v/>
      </c>
      <c r="M150" s="19" t="n"/>
      <c r="N150" s="19" t="n"/>
      <c r="O150" s="20" t="n"/>
      <c r="P150" s="19" t="n"/>
    </row>
    <row r="151">
      <c r="A151" s="19" t="n"/>
      <c r="B151" s="20" t="n"/>
      <c r="C151" s="21">
        <f>IF(B151="","",DATE(YEAR(B151),MONTH(B151),1))</f>
        <v/>
      </c>
      <c r="D151" s="19" t="n"/>
      <c r="E151" s="19" t="n"/>
      <c r="F151" s="19" t="n"/>
      <c r="G151" s="19" t="n"/>
      <c r="H151" s="19" t="n"/>
      <c r="I151" s="19" t="n"/>
      <c r="J151" s="19" t="n"/>
      <c r="K151" s="20" t="n"/>
      <c r="L151" s="22">
        <f>IF(OR(B151="",K151=""),"",K151-B151)</f>
        <v/>
      </c>
      <c r="M151" s="19" t="n"/>
      <c r="N151" s="19" t="n"/>
      <c r="O151" s="20" t="n"/>
      <c r="P151" s="19" t="n"/>
    </row>
    <row r="152">
      <c r="A152" s="19" t="n"/>
      <c r="B152" s="20" t="n"/>
      <c r="C152" s="21">
        <f>IF(B152="","",DATE(YEAR(B152),MONTH(B152),1))</f>
        <v/>
      </c>
      <c r="D152" s="19" t="n"/>
      <c r="E152" s="19" t="n"/>
      <c r="F152" s="19" t="n"/>
      <c r="G152" s="19" t="n"/>
      <c r="H152" s="19" t="n"/>
      <c r="I152" s="19" t="n"/>
      <c r="J152" s="19" t="n"/>
      <c r="K152" s="20" t="n"/>
      <c r="L152" s="22">
        <f>IF(OR(B152="",K152=""),"",K152-B152)</f>
        <v/>
      </c>
      <c r="M152" s="19" t="n"/>
      <c r="N152" s="19" t="n"/>
      <c r="O152" s="20" t="n"/>
      <c r="P152" s="19" t="n"/>
    </row>
    <row r="153">
      <c r="A153" s="19" t="n"/>
      <c r="B153" s="20" t="n"/>
      <c r="C153" s="21">
        <f>IF(B153="","",DATE(YEAR(B153),MONTH(B153),1))</f>
        <v/>
      </c>
      <c r="D153" s="19" t="n"/>
      <c r="E153" s="19" t="n"/>
      <c r="F153" s="19" t="n"/>
      <c r="G153" s="19" t="n"/>
      <c r="H153" s="19" t="n"/>
      <c r="I153" s="19" t="n"/>
      <c r="J153" s="19" t="n"/>
      <c r="K153" s="20" t="n"/>
      <c r="L153" s="22">
        <f>IF(OR(B153="",K153=""),"",K153-B153)</f>
        <v/>
      </c>
      <c r="M153" s="19" t="n"/>
      <c r="N153" s="19" t="n"/>
      <c r="O153" s="20" t="n"/>
      <c r="P153" s="19" t="n"/>
    </row>
    <row r="154">
      <c r="A154" s="19" t="n"/>
      <c r="B154" s="20" t="n"/>
      <c r="C154" s="21">
        <f>IF(B154="","",DATE(YEAR(B154),MONTH(B154),1))</f>
        <v/>
      </c>
      <c r="D154" s="19" t="n"/>
      <c r="E154" s="19" t="n"/>
      <c r="F154" s="19" t="n"/>
      <c r="G154" s="19" t="n"/>
      <c r="H154" s="19" t="n"/>
      <c r="I154" s="19" t="n"/>
      <c r="J154" s="19" t="n"/>
      <c r="K154" s="20" t="n"/>
      <c r="L154" s="22">
        <f>IF(OR(B154="",K154=""),"",K154-B154)</f>
        <v/>
      </c>
      <c r="M154" s="19" t="n"/>
      <c r="N154" s="19" t="n"/>
      <c r="O154" s="20" t="n"/>
      <c r="P154" s="19" t="n"/>
    </row>
    <row r="155">
      <c r="A155" s="19" t="n"/>
      <c r="B155" s="20" t="n"/>
      <c r="C155" s="21">
        <f>IF(B155="","",DATE(YEAR(B155),MONTH(B155),1))</f>
        <v/>
      </c>
      <c r="D155" s="19" t="n"/>
      <c r="E155" s="19" t="n"/>
      <c r="F155" s="19" t="n"/>
      <c r="G155" s="19" t="n"/>
      <c r="H155" s="19" t="n"/>
      <c r="I155" s="19" t="n"/>
      <c r="J155" s="19" t="n"/>
      <c r="K155" s="20" t="n"/>
      <c r="L155" s="22">
        <f>IF(OR(B155="",K155=""),"",K155-B155)</f>
        <v/>
      </c>
      <c r="M155" s="19" t="n"/>
      <c r="N155" s="19" t="n"/>
      <c r="O155" s="20" t="n"/>
      <c r="P155" s="19" t="n"/>
    </row>
    <row r="156">
      <c r="A156" s="19" t="n"/>
      <c r="B156" s="20" t="n"/>
      <c r="C156" s="21">
        <f>IF(B156="","",DATE(YEAR(B156),MONTH(B156),1))</f>
        <v/>
      </c>
      <c r="D156" s="19" t="n"/>
      <c r="E156" s="19" t="n"/>
      <c r="F156" s="19" t="n"/>
      <c r="G156" s="19" t="n"/>
      <c r="H156" s="19" t="n"/>
      <c r="I156" s="19" t="n"/>
      <c r="J156" s="19" t="n"/>
      <c r="K156" s="20" t="n"/>
      <c r="L156" s="22">
        <f>IF(OR(B156="",K156=""),"",K156-B156)</f>
        <v/>
      </c>
      <c r="M156" s="19" t="n"/>
      <c r="N156" s="19" t="n"/>
      <c r="O156" s="20" t="n"/>
      <c r="P156" s="19" t="n"/>
    </row>
    <row r="157">
      <c r="A157" s="19" t="n"/>
      <c r="B157" s="20" t="n"/>
      <c r="C157" s="21">
        <f>IF(B157="","",DATE(YEAR(B157),MONTH(B157),1))</f>
        <v/>
      </c>
      <c r="D157" s="19" t="n"/>
      <c r="E157" s="19" t="n"/>
      <c r="F157" s="19" t="n"/>
      <c r="G157" s="19" t="n"/>
      <c r="H157" s="19" t="n"/>
      <c r="I157" s="19" t="n"/>
      <c r="J157" s="19" t="n"/>
      <c r="K157" s="20" t="n"/>
      <c r="L157" s="22">
        <f>IF(OR(B157="",K157=""),"",K157-B157)</f>
        <v/>
      </c>
      <c r="M157" s="19" t="n"/>
      <c r="N157" s="19" t="n"/>
      <c r="O157" s="20" t="n"/>
      <c r="P157" s="19" t="n"/>
    </row>
    <row r="158">
      <c r="A158" s="19" t="n"/>
      <c r="B158" s="20" t="n"/>
      <c r="C158" s="21">
        <f>IF(B158="","",DATE(YEAR(B158),MONTH(B158),1))</f>
        <v/>
      </c>
      <c r="D158" s="19" t="n"/>
      <c r="E158" s="19" t="n"/>
      <c r="F158" s="19" t="n"/>
      <c r="G158" s="19" t="n"/>
      <c r="H158" s="19" t="n"/>
      <c r="I158" s="19" t="n"/>
      <c r="J158" s="19" t="n"/>
      <c r="K158" s="20" t="n"/>
      <c r="L158" s="22">
        <f>IF(OR(B158="",K158=""),"",K158-B158)</f>
        <v/>
      </c>
      <c r="M158" s="19" t="n"/>
      <c r="N158" s="19" t="n"/>
      <c r="O158" s="20" t="n"/>
      <c r="P158" s="19" t="n"/>
    </row>
    <row r="159">
      <c r="A159" s="19" t="n"/>
      <c r="B159" s="20" t="n"/>
      <c r="C159" s="21">
        <f>IF(B159="","",DATE(YEAR(B159),MONTH(B159),1))</f>
        <v/>
      </c>
      <c r="D159" s="19" t="n"/>
      <c r="E159" s="19" t="n"/>
      <c r="F159" s="19" t="n"/>
      <c r="G159" s="19" t="n"/>
      <c r="H159" s="19" t="n"/>
      <c r="I159" s="19" t="n"/>
      <c r="J159" s="19" t="n"/>
      <c r="K159" s="20" t="n"/>
      <c r="L159" s="22">
        <f>IF(OR(B159="",K159=""),"",K159-B159)</f>
        <v/>
      </c>
      <c r="M159" s="19" t="n"/>
      <c r="N159" s="19" t="n"/>
      <c r="O159" s="20" t="n"/>
      <c r="P159" s="19" t="n"/>
    </row>
    <row r="160">
      <c r="A160" s="19" t="n"/>
      <c r="B160" s="20" t="n"/>
      <c r="C160" s="21">
        <f>IF(B160="","",DATE(YEAR(B160),MONTH(B160),1))</f>
        <v/>
      </c>
      <c r="D160" s="19" t="n"/>
      <c r="E160" s="19" t="n"/>
      <c r="F160" s="19" t="n"/>
      <c r="G160" s="19" t="n"/>
      <c r="H160" s="19" t="n"/>
      <c r="I160" s="19" t="n"/>
      <c r="J160" s="19" t="n"/>
      <c r="K160" s="20" t="n"/>
      <c r="L160" s="22">
        <f>IF(OR(B160="",K160=""),"",K160-B160)</f>
        <v/>
      </c>
      <c r="M160" s="19" t="n"/>
      <c r="N160" s="19" t="n"/>
      <c r="O160" s="20" t="n"/>
      <c r="P160" s="19" t="n"/>
    </row>
    <row r="161">
      <c r="A161" s="19" t="n"/>
      <c r="B161" s="20" t="n"/>
      <c r="C161" s="21">
        <f>IF(B161="","",DATE(YEAR(B161),MONTH(B161),1))</f>
        <v/>
      </c>
      <c r="D161" s="19" t="n"/>
      <c r="E161" s="19" t="n"/>
      <c r="F161" s="19" t="n"/>
      <c r="G161" s="19" t="n"/>
      <c r="H161" s="19" t="n"/>
      <c r="I161" s="19" t="n"/>
      <c r="J161" s="19" t="n"/>
      <c r="K161" s="20" t="n"/>
      <c r="L161" s="22">
        <f>IF(OR(B161="",K161=""),"",K161-B161)</f>
        <v/>
      </c>
      <c r="M161" s="19" t="n"/>
      <c r="N161" s="19" t="n"/>
      <c r="O161" s="20" t="n"/>
      <c r="P161" s="19" t="n"/>
    </row>
    <row r="162">
      <c r="A162" s="19" t="n"/>
      <c r="B162" s="20" t="n"/>
      <c r="C162" s="21">
        <f>IF(B162="","",DATE(YEAR(B162),MONTH(B162),1))</f>
        <v/>
      </c>
      <c r="D162" s="19" t="n"/>
      <c r="E162" s="19" t="n"/>
      <c r="F162" s="19" t="n"/>
      <c r="G162" s="19" t="n"/>
      <c r="H162" s="19" t="n"/>
      <c r="I162" s="19" t="n"/>
      <c r="J162" s="19" t="n"/>
      <c r="K162" s="20" t="n"/>
      <c r="L162" s="22">
        <f>IF(OR(B162="",K162=""),"",K162-B162)</f>
        <v/>
      </c>
      <c r="M162" s="19" t="n"/>
      <c r="N162" s="19" t="n"/>
      <c r="O162" s="20" t="n"/>
      <c r="P162" s="19" t="n"/>
    </row>
    <row r="163">
      <c r="A163" s="19" t="n"/>
      <c r="B163" s="20" t="n"/>
      <c r="C163" s="21">
        <f>IF(B163="","",DATE(YEAR(B163),MONTH(B163),1))</f>
        <v/>
      </c>
      <c r="D163" s="19" t="n"/>
      <c r="E163" s="19" t="n"/>
      <c r="F163" s="19" t="n"/>
      <c r="G163" s="19" t="n"/>
      <c r="H163" s="19" t="n"/>
      <c r="I163" s="19" t="n"/>
      <c r="J163" s="19" t="n"/>
      <c r="K163" s="20" t="n"/>
      <c r="L163" s="22">
        <f>IF(OR(B163="",K163=""),"",K163-B163)</f>
        <v/>
      </c>
      <c r="M163" s="19" t="n"/>
      <c r="N163" s="19" t="n"/>
      <c r="O163" s="20" t="n"/>
      <c r="P163" s="19" t="n"/>
    </row>
    <row r="164">
      <c r="A164" s="19" t="n"/>
      <c r="B164" s="20" t="n"/>
      <c r="C164" s="21">
        <f>IF(B164="","",DATE(YEAR(B164),MONTH(B164),1))</f>
        <v/>
      </c>
      <c r="D164" s="19" t="n"/>
      <c r="E164" s="19" t="n"/>
      <c r="F164" s="19" t="n"/>
      <c r="G164" s="19" t="n"/>
      <c r="H164" s="19" t="n"/>
      <c r="I164" s="19" t="n"/>
      <c r="J164" s="19" t="n"/>
      <c r="K164" s="20" t="n"/>
      <c r="L164" s="22">
        <f>IF(OR(B164="",K164=""),"",K164-B164)</f>
        <v/>
      </c>
      <c r="M164" s="19" t="n"/>
      <c r="N164" s="19" t="n"/>
      <c r="O164" s="20" t="n"/>
      <c r="P164" s="19" t="n"/>
    </row>
    <row r="165">
      <c r="A165" s="19" t="n"/>
      <c r="B165" s="20" t="n"/>
      <c r="C165" s="21">
        <f>IF(B165="","",DATE(YEAR(B165),MONTH(B165),1))</f>
        <v/>
      </c>
      <c r="D165" s="19" t="n"/>
      <c r="E165" s="19" t="n"/>
      <c r="F165" s="19" t="n"/>
      <c r="G165" s="19" t="n"/>
      <c r="H165" s="19" t="n"/>
      <c r="I165" s="19" t="n"/>
      <c r="J165" s="19" t="n"/>
      <c r="K165" s="20" t="n"/>
      <c r="L165" s="22">
        <f>IF(OR(B165="",K165=""),"",K165-B165)</f>
        <v/>
      </c>
      <c r="M165" s="19" t="n"/>
      <c r="N165" s="19" t="n"/>
      <c r="O165" s="20" t="n"/>
      <c r="P165" s="19" t="n"/>
    </row>
    <row r="166">
      <c r="A166" s="19" t="n"/>
      <c r="B166" s="20" t="n"/>
      <c r="C166" s="21">
        <f>IF(B166="","",DATE(YEAR(B166),MONTH(B166),1))</f>
        <v/>
      </c>
      <c r="D166" s="19" t="n"/>
      <c r="E166" s="19" t="n"/>
      <c r="F166" s="19" t="n"/>
      <c r="G166" s="19" t="n"/>
      <c r="H166" s="19" t="n"/>
      <c r="I166" s="19" t="n"/>
      <c r="J166" s="19" t="n"/>
      <c r="K166" s="20" t="n"/>
      <c r="L166" s="22">
        <f>IF(OR(B166="",K166=""),"",K166-B166)</f>
        <v/>
      </c>
      <c r="M166" s="19" t="n"/>
      <c r="N166" s="19" t="n"/>
      <c r="O166" s="20" t="n"/>
      <c r="P166" s="19" t="n"/>
    </row>
    <row r="167">
      <c r="A167" s="19" t="n"/>
      <c r="B167" s="20" t="n"/>
      <c r="C167" s="21">
        <f>IF(B167="","",DATE(YEAR(B167),MONTH(B167),1))</f>
        <v/>
      </c>
      <c r="D167" s="19" t="n"/>
      <c r="E167" s="19" t="n"/>
      <c r="F167" s="19" t="n"/>
      <c r="G167" s="19" t="n"/>
      <c r="H167" s="19" t="n"/>
      <c r="I167" s="19" t="n"/>
      <c r="J167" s="19" t="n"/>
      <c r="K167" s="20" t="n"/>
      <c r="L167" s="22">
        <f>IF(OR(B167="",K167=""),"",K167-B167)</f>
        <v/>
      </c>
      <c r="M167" s="19" t="n"/>
      <c r="N167" s="19" t="n"/>
      <c r="O167" s="20" t="n"/>
      <c r="P167" s="19" t="n"/>
    </row>
    <row r="168">
      <c r="A168" s="19" t="n"/>
      <c r="B168" s="20" t="n"/>
      <c r="C168" s="21">
        <f>IF(B168="","",DATE(YEAR(B168),MONTH(B168),1))</f>
        <v/>
      </c>
      <c r="D168" s="19" t="n"/>
      <c r="E168" s="19" t="n"/>
      <c r="F168" s="19" t="n"/>
      <c r="G168" s="19" t="n"/>
      <c r="H168" s="19" t="n"/>
      <c r="I168" s="19" t="n"/>
      <c r="J168" s="19" t="n"/>
      <c r="K168" s="20" t="n"/>
      <c r="L168" s="22">
        <f>IF(OR(B168="",K168=""),"",K168-B168)</f>
        <v/>
      </c>
      <c r="M168" s="19" t="n"/>
      <c r="N168" s="19" t="n"/>
      <c r="O168" s="20" t="n"/>
      <c r="P168" s="19" t="n"/>
    </row>
    <row r="169">
      <c r="A169" s="19" t="n"/>
      <c r="B169" s="20" t="n"/>
      <c r="C169" s="21">
        <f>IF(B169="","",DATE(YEAR(B169),MONTH(B169),1))</f>
        <v/>
      </c>
      <c r="D169" s="19" t="n"/>
      <c r="E169" s="19" t="n"/>
      <c r="F169" s="19" t="n"/>
      <c r="G169" s="19" t="n"/>
      <c r="H169" s="19" t="n"/>
      <c r="I169" s="19" t="n"/>
      <c r="J169" s="19" t="n"/>
      <c r="K169" s="20" t="n"/>
      <c r="L169" s="22">
        <f>IF(OR(B169="",K169=""),"",K169-B169)</f>
        <v/>
      </c>
      <c r="M169" s="19" t="n"/>
      <c r="N169" s="19" t="n"/>
      <c r="O169" s="20" t="n"/>
      <c r="P169" s="19" t="n"/>
    </row>
    <row r="170">
      <c r="A170" s="19" t="n"/>
      <c r="B170" s="20" t="n"/>
      <c r="C170" s="21">
        <f>IF(B170="","",DATE(YEAR(B170),MONTH(B170),1))</f>
        <v/>
      </c>
      <c r="D170" s="19" t="n"/>
      <c r="E170" s="19" t="n"/>
      <c r="F170" s="19" t="n"/>
      <c r="G170" s="19" t="n"/>
      <c r="H170" s="19" t="n"/>
      <c r="I170" s="19" t="n"/>
      <c r="J170" s="19" t="n"/>
      <c r="K170" s="20" t="n"/>
      <c r="L170" s="22">
        <f>IF(OR(B170="",K170=""),"",K170-B170)</f>
        <v/>
      </c>
      <c r="M170" s="19" t="n"/>
      <c r="N170" s="19" t="n"/>
      <c r="O170" s="20" t="n"/>
      <c r="P170" s="19" t="n"/>
    </row>
    <row r="171">
      <c r="A171" s="19" t="n"/>
      <c r="B171" s="20" t="n"/>
      <c r="C171" s="21">
        <f>IF(B171="","",DATE(YEAR(B171),MONTH(B171),1))</f>
        <v/>
      </c>
      <c r="D171" s="19" t="n"/>
      <c r="E171" s="19" t="n"/>
      <c r="F171" s="19" t="n"/>
      <c r="G171" s="19" t="n"/>
      <c r="H171" s="19" t="n"/>
      <c r="I171" s="19" t="n"/>
      <c r="J171" s="19" t="n"/>
      <c r="K171" s="20" t="n"/>
      <c r="L171" s="22">
        <f>IF(OR(B171="",K171=""),"",K171-B171)</f>
        <v/>
      </c>
      <c r="M171" s="19" t="n"/>
      <c r="N171" s="19" t="n"/>
      <c r="O171" s="20" t="n"/>
      <c r="P171" s="19" t="n"/>
    </row>
    <row r="172">
      <c r="A172" s="19" t="n"/>
      <c r="B172" s="20" t="n"/>
      <c r="C172" s="21">
        <f>IF(B172="","",DATE(YEAR(B172),MONTH(B172),1))</f>
        <v/>
      </c>
      <c r="D172" s="19" t="n"/>
      <c r="E172" s="19" t="n"/>
      <c r="F172" s="19" t="n"/>
      <c r="G172" s="19" t="n"/>
      <c r="H172" s="19" t="n"/>
      <c r="I172" s="19" t="n"/>
      <c r="J172" s="19" t="n"/>
      <c r="K172" s="20" t="n"/>
      <c r="L172" s="22">
        <f>IF(OR(B172="",K172=""),"",K172-B172)</f>
        <v/>
      </c>
      <c r="M172" s="19" t="n"/>
      <c r="N172" s="19" t="n"/>
      <c r="O172" s="20" t="n"/>
      <c r="P172" s="19" t="n"/>
    </row>
    <row r="173">
      <c r="A173" s="19" t="n"/>
      <c r="B173" s="20" t="n"/>
      <c r="C173" s="21">
        <f>IF(B173="","",DATE(YEAR(B173),MONTH(B173),1))</f>
        <v/>
      </c>
      <c r="D173" s="19" t="n"/>
      <c r="E173" s="19" t="n"/>
      <c r="F173" s="19" t="n"/>
      <c r="G173" s="19" t="n"/>
      <c r="H173" s="19" t="n"/>
      <c r="I173" s="19" t="n"/>
      <c r="J173" s="19" t="n"/>
      <c r="K173" s="20" t="n"/>
      <c r="L173" s="22">
        <f>IF(OR(B173="",K173=""),"",K173-B173)</f>
        <v/>
      </c>
      <c r="M173" s="19" t="n"/>
      <c r="N173" s="19" t="n"/>
      <c r="O173" s="20" t="n"/>
      <c r="P173" s="19" t="n"/>
    </row>
    <row r="174">
      <c r="A174" s="19" t="n"/>
      <c r="B174" s="20" t="n"/>
      <c r="C174" s="21">
        <f>IF(B174="","",DATE(YEAR(B174),MONTH(B174),1))</f>
        <v/>
      </c>
      <c r="D174" s="19" t="n"/>
      <c r="E174" s="19" t="n"/>
      <c r="F174" s="19" t="n"/>
      <c r="G174" s="19" t="n"/>
      <c r="H174" s="19" t="n"/>
      <c r="I174" s="19" t="n"/>
      <c r="J174" s="19" t="n"/>
      <c r="K174" s="20" t="n"/>
      <c r="L174" s="22">
        <f>IF(OR(B174="",K174=""),"",K174-B174)</f>
        <v/>
      </c>
      <c r="M174" s="19" t="n"/>
      <c r="N174" s="19" t="n"/>
      <c r="O174" s="20" t="n"/>
      <c r="P174" s="19" t="n"/>
    </row>
    <row r="175">
      <c r="A175" s="19" t="n"/>
      <c r="B175" s="20" t="n"/>
      <c r="C175" s="21">
        <f>IF(B175="","",DATE(YEAR(B175),MONTH(B175),1))</f>
        <v/>
      </c>
      <c r="D175" s="19" t="n"/>
      <c r="E175" s="19" t="n"/>
      <c r="F175" s="19" t="n"/>
      <c r="G175" s="19" t="n"/>
      <c r="H175" s="19" t="n"/>
      <c r="I175" s="19" t="n"/>
      <c r="J175" s="19" t="n"/>
      <c r="K175" s="20" t="n"/>
      <c r="L175" s="22">
        <f>IF(OR(B175="",K175=""),"",K175-B175)</f>
        <v/>
      </c>
      <c r="M175" s="19" t="n"/>
      <c r="N175" s="19" t="n"/>
      <c r="O175" s="20" t="n"/>
      <c r="P175" s="19" t="n"/>
    </row>
    <row r="176">
      <c r="A176" s="19" t="n"/>
      <c r="B176" s="20" t="n"/>
      <c r="C176" s="21">
        <f>IF(B176="","",DATE(YEAR(B176),MONTH(B176),1))</f>
        <v/>
      </c>
      <c r="D176" s="19" t="n"/>
      <c r="E176" s="19" t="n"/>
      <c r="F176" s="19" t="n"/>
      <c r="G176" s="19" t="n"/>
      <c r="H176" s="19" t="n"/>
      <c r="I176" s="19" t="n"/>
      <c r="J176" s="19" t="n"/>
      <c r="K176" s="20" t="n"/>
      <c r="L176" s="22">
        <f>IF(OR(B176="",K176=""),"",K176-B176)</f>
        <v/>
      </c>
      <c r="M176" s="19" t="n"/>
      <c r="N176" s="19" t="n"/>
      <c r="O176" s="20" t="n"/>
      <c r="P176" s="19" t="n"/>
    </row>
    <row r="177">
      <c r="A177" s="19" t="n"/>
      <c r="B177" s="20" t="n"/>
      <c r="C177" s="21">
        <f>IF(B177="","",DATE(YEAR(B177),MONTH(B177),1))</f>
        <v/>
      </c>
      <c r="D177" s="19" t="n"/>
      <c r="E177" s="19" t="n"/>
      <c r="F177" s="19" t="n"/>
      <c r="G177" s="19" t="n"/>
      <c r="H177" s="19" t="n"/>
      <c r="I177" s="19" t="n"/>
      <c r="J177" s="19" t="n"/>
      <c r="K177" s="20" t="n"/>
      <c r="L177" s="22">
        <f>IF(OR(B177="",K177=""),"",K177-B177)</f>
        <v/>
      </c>
      <c r="M177" s="19" t="n"/>
      <c r="N177" s="19" t="n"/>
      <c r="O177" s="20" t="n"/>
      <c r="P177" s="19" t="n"/>
    </row>
    <row r="178">
      <c r="A178" s="19" t="n"/>
      <c r="B178" s="20" t="n"/>
      <c r="C178" s="21">
        <f>IF(B178="","",DATE(YEAR(B178),MONTH(B178),1))</f>
        <v/>
      </c>
      <c r="D178" s="19" t="n"/>
      <c r="E178" s="19" t="n"/>
      <c r="F178" s="19" t="n"/>
      <c r="G178" s="19" t="n"/>
      <c r="H178" s="19" t="n"/>
      <c r="I178" s="19" t="n"/>
      <c r="J178" s="19" t="n"/>
      <c r="K178" s="20" t="n"/>
      <c r="L178" s="22">
        <f>IF(OR(B178="",K178=""),"",K178-B178)</f>
        <v/>
      </c>
      <c r="M178" s="19" t="n"/>
      <c r="N178" s="19" t="n"/>
      <c r="O178" s="20" t="n"/>
      <c r="P178" s="19" t="n"/>
    </row>
    <row r="179">
      <c r="A179" s="19" t="n"/>
      <c r="B179" s="20" t="n"/>
      <c r="C179" s="21">
        <f>IF(B179="","",DATE(YEAR(B179),MONTH(B179),1))</f>
        <v/>
      </c>
      <c r="D179" s="19" t="n"/>
      <c r="E179" s="19" t="n"/>
      <c r="F179" s="19" t="n"/>
      <c r="G179" s="19" t="n"/>
      <c r="H179" s="19" t="n"/>
      <c r="I179" s="19" t="n"/>
      <c r="J179" s="19" t="n"/>
      <c r="K179" s="20" t="n"/>
      <c r="L179" s="22">
        <f>IF(OR(B179="",K179=""),"",K179-B179)</f>
        <v/>
      </c>
      <c r="M179" s="19" t="n"/>
      <c r="N179" s="19" t="n"/>
      <c r="O179" s="20" t="n"/>
      <c r="P179" s="19" t="n"/>
    </row>
    <row r="180">
      <c r="A180" s="19" t="n"/>
      <c r="B180" s="20" t="n"/>
      <c r="C180" s="21">
        <f>IF(B180="","",DATE(YEAR(B180),MONTH(B180),1))</f>
        <v/>
      </c>
      <c r="D180" s="19" t="n"/>
      <c r="E180" s="19" t="n"/>
      <c r="F180" s="19" t="n"/>
      <c r="G180" s="19" t="n"/>
      <c r="H180" s="19" t="n"/>
      <c r="I180" s="19" t="n"/>
      <c r="J180" s="19" t="n"/>
      <c r="K180" s="20" t="n"/>
      <c r="L180" s="22">
        <f>IF(OR(B180="",K180=""),"",K180-B180)</f>
        <v/>
      </c>
      <c r="M180" s="19" t="n"/>
      <c r="N180" s="19" t="n"/>
      <c r="O180" s="20" t="n"/>
      <c r="P180" s="19" t="n"/>
    </row>
    <row r="181">
      <c r="A181" s="19" t="n"/>
      <c r="B181" s="20" t="n"/>
      <c r="C181" s="21">
        <f>IF(B181="","",DATE(YEAR(B181),MONTH(B181),1))</f>
        <v/>
      </c>
      <c r="D181" s="19" t="n"/>
      <c r="E181" s="19" t="n"/>
      <c r="F181" s="19" t="n"/>
      <c r="G181" s="19" t="n"/>
      <c r="H181" s="19" t="n"/>
      <c r="I181" s="19" t="n"/>
      <c r="J181" s="19" t="n"/>
      <c r="K181" s="20" t="n"/>
      <c r="L181" s="22">
        <f>IF(OR(B181="",K181=""),"",K181-B181)</f>
        <v/>
      </c>
      <c r="M181" s="19" t="n"/>
      <c r="N181" s="19" t="n"/>
      <c r="O181" s="20" t="n"/>
      <c r="P181" s="19" t="n"/>
    </row>
    <row r="182">
      <c r="A182" s="19" t="n"/>
      <c r="B182" s="20" t="n"/>
      <c r="C182" s="21">
        <f>IF(B182="","",DATE(YEAR(B182),MONTH(B182),1))</f>
        <v/>
      </c>
      <c r="D182" s="19" t="n"/>
      <c r="E182" s="19" t="n"/>
      <c r="F182" s="19" t="n"/>
      <c r="G182" s="19" t="n"/>
      <c r="H182" s="19" t="n"/>
      <c r="I182" s="19" t="n"/>
      <c r="J182" s="19" t="n"/>
      <c r="K182" s="20" t="n"/>
      <c r="L182" s="22">
        <f>IF(OR(B182="",K182=""),"",K182-B182)</f>
        <v/>
      </c>
      <c r="M182" s="19" t="n"/>
      <c r="N182" s="19" t="n"/>
      <c r="O182" s="20" t="n"/>
      <c r="P182" s="19" t="n"/>
    </row>
    <row r="183">
      <c r="A183" s="19" t="n"/>
      <c r="B183" s="20" t="n"/>
      <c r="C183" s="21">
        <f>IF(B183="","",DATE(YEAR(B183),MONTH(B183),1))</f>
        <v/>
      </c>
      <c r="D183" s="19" t="n"/>
      <c r="E183" s="19" t="n"/>
      <c r="F183" s="19" t="n"/>
      <c r="G183" s="19" t="n"/>
      <c r="H183" s="19" t="n"/>
      <c r="I183" s="19" t="n"/>
      <c r="J183" s="19" t="n"/>
      <c r="K183" s="20" t="n"/>
      <c r="L183" s="22">
        <f>IF(OR(B183="",K183=""),"",K183-B183)</f>
        <v/>
      </c>
      <c r="M183" s="19" t="n"/>
      <c r="N183" s="19" t="n"/>
      <c r="O183" s="20" t="n"/>
      <c r="P183" s="19" t="n"/>
    </row>
    <row r="184">
      <c r="A184" s="19" t="n"/>
      <c r="B184" s="20" t="n"/>
      <c r="C184" s="21">
        <f>IF(B184="","",DATE(YEAR(B184),MONTH(B184),1))</f>
        <v/>
      </c>
      <c r="D184" s="19" t="n"/>
      <c r="E184" s="19" t="n"/>
      <c r="F184" s="19" t="n"/>
      <c r="G184" s="19" t="n"/>
      <c r="H184" s="19" t="n"/>
      <c r="I184" s="19" t="n"/>
      <c r="J184" s="19" t="n"/>
      <c r="K184" s="20" t="n"/>
      <c r="L184" s="22">
        <f>IF(OR(B184="",K184=""),"",K184-B184)</f>
        <v/>
      </c>
      <c r="M184" s="19" t="n"/>
      <c r="N184" s="19" t="n"/>
      <c r="O184" s="20" t="n"/>
      <c r="P184" s="19" t="n"/>
    </row>
    <row r="185">
      <c r="A185" s="19" t="n"/>
      <c r="B185" s="20" t="n"/>
      <c r="C185" s="21">
        <f>IF(B185="","",DATE(YEAR(B185),MONTH(B185),1))</f>
        <v/>
      </c>
      <c r="D185" s="19" t="n"/>
      <c r="E185" s="19" t="n"/>
      <c r="F185" s="19" t="n"/>
      <c r="G185" s="19" t="n"/>
      <c r="H185" s="19" t="n"/>
      <c r="I185" s="19" t="n"/>
      <c r="J185" s="19" t="n"/>
      <c r="K185" s="20" t="n"/>
      <c r="L185" s="22">
        <f>IF(OR(B185="",K185=""),"",K185-B185)</f>
        <v/>
      </c>
      <c r="M185" s="19" t="n"/>
      <c r="N185" s="19" t="n"/>
      <c r="O185" s="20" t="n"/>
      <c r="P185" s="19" t="n"/>
    </row>
    <row r="186">
      <c r="A186" s="19" t="n"/>
      <c r="B186" s="20" t="n"/>
      <c r="C186" s="21">
        <f>IF(B186="","",DATE(YEAR(B186),MONTH(B186),1))</f>
        <v/>
      </c>
      <c r="D186" s="19" t="n"/>
      <c r="E186" s="19" t="n"/>
      <c r="F186" s="19" t="n"/>
      <c r="G186" s="19" t="n"/>
      <c r="H186" s="19" t="n"/>
      <c r="I186" s="19" t="n"/>
      <c r="J186" s="19" t="n"/>
      <c r="K186" s="20" t="n"/>
      <c r="L186" s="22">
        <f>IF(OR(B186="",K186=""),"",K186-B186)</f>
        <v/>
      </c>
      <c r="M186" s="19" t="n"/>
      <c r="N186" s="19" t="n"/>
      <c r="O186" s="20" t="n"/>
      <c r="P186" s="19" t="n"/>
    </row>
    <row r="187">
      <c r="A187" s="19" t="n"/>
      <c r="B187" s="20" t="n"/>
      <c r="C187" s="21">
        <f>IF(B187="","",DATE(YEAR(B187),MONTH(B187),1))</f>
        <v/>
      </c>
      <c r="D187" s="19" t="n"/>
      <c r="E187" s="19" t="n"/>
      <c r="F187" s="19" t="n"/>
      <c r="G187" s="19" t="n"/>
      <c r="H187" s="19" t="n"/>
      <c r="I187" s="19" t="n"/>
      <c r="J187" s="19" t="n"/>
      <c r="K187" s="20" t="n"/>
      <c r="L187" s="22">
        <f>IF(OR(B187="",K187=""),"",K187-B187)</f>
        <v/>
      </c>
      <c r="M187" s="19" t="n"/>
      <c r="N187" s="19" t="n"/>
      <c r="O187" s="20" t="n"/>
      <c r="P187" s="19" t="n"/>
    </row>
    <row r="188">
      <c r="A188" s="19" t="n"/>
      <c r="B188" s="20" t="n"/>
      <c r="C188" s="21">
        <f>IF(B188="","",DATE(YEAR(B188),MONTH(B188),1))</f>
        <v/>
      </c>
      <c r="D188" s="19" t="n"/>
      <c r="E188" s="19" t="n"/>
      <c r="F188" s="19" t="n"/>
      <c r="G188" s="19" t="n"/>
      <c r="H188" s="19" t="n"/>
      <c r="I188" s="19" t="n"/>
      <c r="J188" s="19" t="n"/>
      <c r="K188" s="20" t="n"/>
      <c r="L188" s="22">
        <f>IF(OR(B188="",K188=""),"",K188-B188)</f>
        <v/>
      </c>
      <c r="M188" s="19" t="n"/>
      <c r="N188" s="19" t="n"/>
      <c r="O188" s="20" t="n"/>
      <c r="P188" s="19" t="n"/>
    </row>
    <row r="189">
      <c r="A189" s="19" t="n"/>
      <c r="B189" s="20" t="n"/>
      <c r="C189" s="21">
        <f>IF(B189="","",DATE(YEAR(B189),MONTH(B189),1))</f>
        <v/>
      </c>
      <c r="D189" s="19" t="n"/>
      <c r="E189" s="19" t="n"/>
      <c r="F189" s="19" t="n"/>
      <c r="G189" s="19" t="n"/>
      <c r="H189" s="19" t="n"/>
      <c r="I189" s="19" t="n"/>
      <c r="J189" s="19" t="n"/>
      <c r="K189" s="20" t="n"/>
      <c r="L189" s="22">
        <f>IF(OR(B189="",K189=""),"",K189-B189)</f>
        <v/>
      </c>
      <c r="M189" s="19" t="n"/>
      <c r="N189" s="19" t="n"/>
      <c r="O189" s="20" t="n"/>
      <c r="P189" s="19" t="n"/>
    </row>
    <row r="190">
      <c r="A190" s="19" t="n"/>
      <c r="B190" s="20" t="n"/>
      <c r="C190" s="21">
        <f>IF(B190="","",DATE(YEAR(B190),MONTH(B190),1))</f>
        <v/>
      </c>
      <c r="D190" s="19" t="n"/>
      <c r="E190" s="19" t="n"/>
      <c r="F190" s="19" t="n"/>
      <c r="G190" s="19" t="n"/>
      <c r="H190" s="19" t="n"/>
      <c r="I190" s="19" t="n"/>
      <c r="J190" s="19" t="n"/>
      <c r="K190" s="20" t="n"/>
      <c r="L190" s="22">
        <f>IF(OR(B190="",K190=""),"",K190-B190)</f>
        <v/>
      </c>
      <c r="M190" s="19" t="n"/>
      <c r="N190" s="19" t="n"/>
      <c r="O190" s="20" t="n"/>
      <c r="P190" s="19" t="n"/>
    </row>
    <row r="191">
      <c r="A191" s="19" t="n"/>
      <c r="B191" s="20" t="n"/>
      <c r="C191" s="21">
        <f>IF(B191="","",DATE(YEAR(B191),MONTH(B191),1))</f>
        <v/>
      </c>
      <c r="D191" s="19" t="n"/>
      <c r="E191" s="19" t="n"/>
      <c r="F191" s="19" t="n"/>
      <c r="G191" s="19" t="n"/>
      <c r="H191" s="19" t="n"/>
      <c r="I191" s="19" t="n"/>
      <c r="J191" s="19" t="n"/>
      <c r="K191" s="20" t="n"/>
      <c r="L191" s="22">
        <f>IF(OR(B191="",K191=""),"",K191-B191)</f>
        <v/>
      </c>
      <c r="M191" s="19" t="n"/>
      <c r="N191" s="19" t="n"/>
      <c r="O191" s="20" t="n"/>
      <c r="P191" s="19" t="n"/>
    </row>
    <row r="192">
      <c r="A192" s="19" t="n"/>
      <c r="B192" s="20" t="n"/>
      <c r="C192" s="21">
        <f>IF(B192="","",DATE(YEAR(B192),MONTH(B192),1))</f>
        <v/>
      </c>
      <c r="D192" s="19" t="n"/>
      <c r="E192" s="19" t="n"/>
      <c r="F192" s="19" t="n"/>
      <c r="G192" s="19" t="n"/>
      <c r="H192" s="19" t="n"/>
      <c r="I192" s="19" t="n"/>
      <c r="J192" s="19" t="n"/>
      <c r="K192" s="20" t="n"/>
      <c r="L192" s="22">
        <f>IF(OR(B192="",K192=""),"",K192-B192)</f>
        <v/>
      </c>
      <c r="M192" s="19" t="n"/>
      <c r="N192" s="19" t="n"/>
      <c r="O192" s="20" t="n"/>
      <c r="P192" s="19" t="n"/>
    </row>
    <row r="193">
      <c r="A193" s="19" t="n"/>
      <c r="B193" s="20" t="n"/>
      <c r="C193" s="21">
        <f>IF(B193="","",DATE(YEAR(B193),MONTH(B193),1))</f>
        <v/>
      </c>
      <c r="D193" s="19" t="n"/>
      <c r="E193" s="19" t="n"/>
      <c r="F193" s="19" t="n"/>
      <c r="G193" s="19" t="n"/>
      <c r="H193" s="19" t="n"/>
      <c r="I193" s="19" t="n"/>
      <c r="J193" s="19" t="n"/>
      <c r="K193" s="20" t="n"/>
      <c r="L193" s="22">
        <f>IF(OR(B193="",K193=""),"",K193-B193)</f>
        <v/>
      </c>
      <c r="M193" s="19" t="n"/>
      <c r="N193" s="19" t="n"/>
      <c r="O193" s="20" t="n"/>
      <c r="P193" s="19" t="n"/>
    </row>
    <row r="194">
      <c r="A194" s="19" t="n"/>
      <c r="B194" s="20" t="n"/>
      <c r="C194" s="21">
        <f>IF(B194="","",DATE(YEAR(B194),MONTH(B194),1))</f>
        <v/>
      </c>
      <c r="D194" s="19" t="n"/>
      <c r="E194" s="19" t="n"/>
      <c r="F194" s="19" t="n"/>
      <c r="G194" s="19" t="n"/>
      <c r="H194" s="19" t="n"/>
      <c r="I194" s="19" t="n"/>
      <c r="J194" s="19" t="n"/>
      <c r="K194" s="20" t="n"/>
      <c r="L194" s="22">
        <f>IF(OR(B194="",K194=""),"",K194-B194)</f>
        <v/>
      </c>
      <c r="M194" s="19" t="n"/>
      <c r="N194" s="19" t="n"/>
      <c r="O194" s="20" t="n"/>
      <c r="P194" s="19" t="n"/>
    </row>
    <row r="195">
      <c r="A195" s="19" t="n"/>
      <c r="B195" s="20" t="n"/>
      <c r="C195" s="21">
        <f>IF(B195="","",DATE(YEAR(B195),MONTH(B195),1))</f>
        <v/>
      </c>
      <c r="D195" s="19" t="n"/>
      <c r="E195" s="19" t="n"/>
      <c r="F195" s="19" t="n"/>
      <c r="G195" s="19" t="n"/>
      <c r="H195" s="19" t="n"/>
      <c r="I195" s="19" t="n"/>
      <c r="J195" s="19" t="n"/>
      <c r="K195" s="20" t="n"/>
      <c r="L195" s="22">
        <f>IF(OR(B195="",K195=""),"",K195-B195)</f>
        <v/>
      </c>
      <c r="M195" s="19" t="n"/>
      <c r="N195" s="19" t="n"/>
      <c r="O195" s="20" t="n"/>
      <c r="P195" s="19" t="n"/>
    </row>
    <row r="196">
      <c r="A196" s="19" t="n"/>
      <c r="B196" s="20" t="n"/>
      <c r="C196" s="21">
        <f>IF(B196="","",DATE(YEAR(B196),MONTH(B196),1))</f>
        <v/>
      </c>
      <c r="D196" s="19" t="n"/>
      <c r="E196" s="19" t="n"/>
      <c r="F196" s="19" t="n"/>
      <c r="G196" s="19" t="n"/>
      <c r="H196" s="19" t="n"/>
      <c r="I196" s="19" t="n"/>
      <c r="J196" s="19" t="n"/>
      <c r="K196" s="20" t="n"/>
      <c r="L196" s="22">
        <f>IF(OR(B196="",K196=""),"",K196-B196)</f>
        <v/>
      </c>
      <c r="M196" s="19" t="n"/>
      <c r="N196" s="19" t="n"/>
      <c r="O196" s="20" t="n"/>
      <c r="P196" s="19" t="n"/>
    </row>
    <row r="197">
      <c r="A197" s="19" t="n"/>
      <c r="B197" s="20" t="n"/>
      <c r="C197" s="21">
        <f>IF(B197="","",DATE(YEAR(B197),MONTH(B197),1))</f>
        <v/>
      </c>
      <c r="D197" s="19" t="n"/>
      <c r="E197" s="19" t="n"/>
      <c r="F197" s="19" t="n"/>
      <c r="G197" s="19" t="n"/>
      <c r="H197" s="19" t="n"/>
      <c r="I197" s="19" t="n"/>
      <c r="J197" s="19" t="n"/>
      <c r="K197" s="20" t="n"/>
      <c r="L197" s="22">
        <f>IF(OR(B197="",K197=""),"",K197-B197)</f>
        <v/>
      </c>
      <c r="M197" s="19" t="n"/>
      <c r="N197" s="19" t="n"/>
      <c r="O197" s="20" t="n"/>
      <c r="P197" s="19" t="n"/>
    </row>
    <row r="198">
      <c r="A198" s="19" t="n"/>
      <c r="B198" s="20" t="n"/>
      <c r="C198" s="21">
        <f>IF(B198="","",DATE(YEAR(B198),MONTH(B198),1))</f>
        <v/>
      </c>
      <c r="D198" s="19" t="n"/>
      <c r="E198" s="19" t="n"/>
      <c r="F198" s="19" t="n"/>
      <c r="G198" s="19" t="n"/>
      <c r="H198" s="19" t="n"/>
      <c r="I198" s="19" t="n"/>
      <c r="J198" s="19" t="n"/>
      <c r="K198" s="20" t="n"/>
      <c r="L198" s="22">
        <f>IF(OR(B198="",K198=""),"",K198-B198)</f>
        <v/>
      </c>
      <c r="M198" s="19" t="n"/>
      <c r="N198" s="19" t="n"/>
      <c r="O198" s="20" t="n"/>
      <c r="P198" s="19" t="n"/>
    </row>
    <row r="199">
      <c r="A199" s="19" t="n"/>
      <c r="B199" s="20" t="n"/>
      <c r="C199" s="21">
        <f>IF(B199="","",DATE(YEAR(B199),MONTH(B199),1))</f>
        <v/>
      </c>
      <c r="D199" s="19" t="n"/>
      <c r="E199" s="19" t="n"/>
      <c r="F199" s="19" t="n"/>
      <c r="G199" s="19" t="n"/>
      <c r="H199" s="19" t="n"/>
      <c r="I199" s="19" t="n"/>
      <c r="J199" s="19" t="n"/>
      <c r="K199" s="20" t="n"/>
      <c r="L199" s="22">
        <f>IF(OR(B199="",K199=""),"",K199-B199)</f>
        <v/>
      </c>
      <c r="M199" s="19" t="n"/>
      <c r="N199" s="19" t="n"/>
      <c r="O199" s="20" t="n"/>
      <c r="P199" s="19" t="n"/>
    </row>
    <row r="200">
      <c r="A200" s="19" t="n"/>
      <c r="B200" s="20" t="n"/>
      <c r="C200" s="21">
        <f>IF(B200="","",DATE(YEAR(B200),MONTH(B200),1))</f>
        <v/>
      </c>
      <c r="D200" s="19" t="n"/>
      <c r="E200" s="19" t="n"/>
      <c r="F200" s="19" t="n"/>
      <c r="G200" s="19" t="n"/>
      <c r="H200" s="19" t="n"/>
      <c r="I200" s="19" t="n"/>
      <c r="J200" s="19" t="n"/>
      <c r="K200" s="20" t="n"/>
      <c r="L200" s="22">
        <f>IF(OR(B200="",K200=""),"",K200-B200)</f>
        <v/>
      </c>
      <c r="M200" s="19" t="n"/>
      <c r="N200" s="19" t="n"/>
      <c r="O200" s="20" t="n"/>
      <c r="P200" s="19" t="n"/>
    </row>
    <row r="201">
      <c r="A201" s="19" t="n"/>
      <c r="B201" s="20" t="n"/>
      <c r="C201" s="21">
        <f>IF(B201="","",DATE(YEAR(B201),MONTH(B201),1))</f>
        <v/>
      </c>
      <c r="D201" s="19" t="n"/>
      <c r="E201" s="19" t="n"/>
      <c r="F201" s="19" t="n"/>
      <c r="G201" s="19" t="n"/>
      <c r="H201" s="19" t="n"/>
      <c r="I201" s="19" t="n"/>
      <c r="J201" s="19" t="n"/>
      <c r="K201" s="20" t="n"/>
      <c r="L201" s="22">
        <f>IF(OR(B201="",K201=""),"",K201-B201)</f>
        <v/>
      </c>
      <c r="M201" s="19" t="n"/>
      <c r="N201" s="19" t="n"/>
      <c r="O201" s="20" t="n"/>
      <c r="P201" s="19" t="n"/>
    </row>
    <row r="202">
      <c r="A202" s="19" t="n"/>
      <c r="B202" s="20" t="n"/>
      <c r="C202" s="21">
        <f>IF(B202="","",DATE(YEAR(B202),MONTH(B202),1))</f>
        <v/>
      </c>
      <c r="D202" s="19" t="n"/>
      <c r="E202" s="19" t="n"/>
      <c r="F202" s="19" t="n"/>
      <c r="G202" s="19" t="n"/>
      <c r="H202" s="19" t="n"/>
      <c r="I202" s="19" t="n"/>
      <c r="J202" s="19" t="n"/>
      <c r="K202" s="20" t="n"/>
      <c r="L202" s="22">
        <f>IF(OR(B202="",K202=""),"",K202-B202)</f>
        <v/>
      </c>
      <c r="M202" s="19" t="n"/>
      <c r="N202" s="19" t="n"/>
      <c r="O202" s="20" t="n"/>
      <c r="P202" s="19" t="n"/>
    </row>
    <row r="203">
      <c r="A203" s="19" t="n"/>
      <c r="B203" s="20" t="n"/>
      <c r="C203" s="21">
        <f>IF(B203="","",DATE(YEAR(B203),MONTH(B203),1))</f>
        <v/>
      </c>
      <c r="D203" s="19" t="n"/>
      <c r="E203" s="19" t="n"/>
      <c r="F203" s="19" t="n"/>
      <c r="G203" s="19" t="n"/>
      <c r="H203" s="19" t="n"/>
      <c r="I203" s="19" t="n"/>
      <c r="J203" s="19" t="n"/>
      <c r="K203" s="20" t="n"/>
      <c r="L203" s="22">
        <f>IF(OR(B203="",K203=""),"",K203-B203)</f>
        <v/>
      </c>
      <c r="M203" s="19" t="n"/>
      <c r="N203" s="19" t="n"/>
      <c r="O203" s="20" t="n"/>
      <c r="P203" s="19" t="n"/>
    </row>
    <row r="204">
      <c r="A204" s="19" t="n"/>
      <c r="B204" s="20" t="n"/>
      <c r="C204" s="21">
        <f>IF(B204="","",DATE(YEAR(B204),MONTH(B204),1))</f>
        <v/>
      </c>
      <c r="D204" s="19" t="n"/>
      <c r="E204" s="19" t="n"/>
      <c r="F204" s="19" t="n"/>
      <c r="G204" s="19" t="n"/>
      <c r="H204" s="19" t="n"/>
      <c r="I204" s="19" t="n"/>
      <c r="J204" s="19" t="n"/>
      <c r="K204" s="20" t="n"/>
      <c r="L204" s="22">
        <f>IF(OR(B204="",K204=""),"",K204-B204)</f>
        <v/>
      </c>
      <c r="M204" s="19" t="n"/>
      <c r="N204" s="19" t="n"/>
      <c r="O204" s="20" t="n"/>
      <c r="P204" s="19" t="n"/>
    </row>
    <row r="205">
      <c r="A205" s="19" t="n"/>
      <c r="B205" s="20" t="n"/>
      <c r="C205" s="21">
        <f>IF(B205="","",DATE(YEAR(B205),MONTH(B205),1))</f>
        <v/>
      </c>
      <c r="D205" s="19" t="n"/>
      <c r="E205" s="19" t="n"/>
      <c r="F205" s="19" t="n"/>
      <c r="G205" s="19" t="n"/>
      <c r="H205" s="19" t="n"/>
      <c r="I205" s="19" t="n"/>
      <c r="J205" s="19" t="n"/>
      <c r="K205" s="20" t="n"/>
      <c r="L205" s="22">
        <f>IF(OR(B205="",K205=""),"",K205-B205)</f>
        <v/>
      </c>
      <c r="M205" s="19" t="n"/>
      <c r="N205" s="19" t="n"/>
      <c r="O205" s="20" t="n"/>
      <c r="P205" s="19" t="n"/>
    </row>
    <row r="206">
      <c r="A206" s="19" t="n"/>
      <c r="B206" s="20" t="n"/>
      <c r="C206" s="21">
        <f>IF(B206="","",DATE(YEAR(B206),MONTH(B206),1))</f>
        <v/>
      </c>
      <c r="D206" s="19" t="n"/>
      <c r="E206" s="19" t="n"/>
      <c r="F206" s="19" t="n"/>
      <c r="G206" s="19" t="n"/>
      <c r="H206" s="19" t="n"/>
      <c r="I206" s="19" t="n"/>
      <c r="J206" s="19" t="n"/>
      <c r="K206" s="20" t="n"/>
      <c r="L206" s="22">
        <f>IF(OR(B206="",K206=""),"",K206-B206)</f>
        <v/>
      </c>
      <c r="M206" s="19" t="n"/>
      <c r="N206" s="19" t="n"/>
      <c r="O206" s="20" t="n"/>
      <c r="P206" s="19" t="n"/>
    </row>
    <row r="207">
      <c r="A207" s="19" t="n"/>
      <c r="B207" s="20" t="n"/>
      <c r="C207" s="21">
        <f>IF(B207="","",DATE(YEAR(B207),MONTH(B207),1))</f>
        <v/>
      </c>
      <c r="D207" s="19" t="n"/>
      <c r="E207" s="19" t="n"/>
      <c r="F207" s="19" t="n"/>
      <c r="G207" s="19" t="n"/>
      <c r="H207" s="19" t="n"/>
      <c r="I207" s="19" t="n"/>
      <c r="J207" s="19" t="n"/>
      <c r="K207" s="20" t="n"/>
      <c r="L207" s="22">
        <f>IF(OR(B207="",K207=""),"",K207-B207)</f>
        <v/>
      </c>
      <c r="M207" s="19" t="n"/>
      <c r="N207" s="19" t="n"/>
      <c r="O207" s="20" t="n"/>
      <c r="P207" s="19" t="n"/>
    </row>
    <row r="208">
      <c r="A208" s="19" t="n"/>
      <c r="B208" s="20" t="n"/>
      <c r="C208" s="21">
        <f>IF(B208="","",DATE(YEAR(B208),MONTH(B208),1))</f>
        <v/>
      </c>
      <c r="D208" s="19" t="n"/>
      <c r="E208" s="19" t="n"/>
      <c r="F208" s="19" t="n"/>
      <c r="G208" s="19" t="n"/>
      <c r="H208" s="19" t="n"/>
      <c r="I208" s="19" t="n"/>
      <c r="J208" s="19" t="n"/>
      <c r="K208" s="20" t="n"/>
      <c r="L208" s="22">
        <f>IF(OR(B208="",K208=""),"",K208-B208)</f>
        <v/>
      </c>
      <c r="M208" s="19" t="n"/>
      <c r="N208" s="19" t="n"/>
      <c r="O208" s="20" t="n"/>
      <c r="P208" s="19" t="n"/>
    </row>
    <row r="209">
      <c r="A209" s="19" t="n"/>
      <c r="B209" s="20" t="n"/>
      <c r="C209" s="21">
        <f>IF(B209="","",DATE(YEAR(B209),MONTH(B209),1))</f>
        <v/>
      </c>
      <c r="D209" s="19" t="n"/>
      <c r="E209" s="19" t="n"/>
      <c r="F209" s="19" t="n"/>
      <c r="G209" s="19" t="n"/>
      <c r="H209" s="19" t="n"/>
      <c r="I209" s="19" t="n"/>
      <c r="J209" s="19" t="n"/>
      <c r="K209" s="20" t="n"/>
      <c r="L209" s="22">
        <f>IF(OR(B209="",K209=""),"",K209-B209)</f>
        <v/>
      </c>
      <c r="M209" s="19" t="n"/>
      <c r="N209" s="19" t="n"/>
      <c r="O209" s="20" t="n"/>
      <c r="P209" s="19" t="n"/>
    </row>
    <row r="210">
      <c r="A210" s="19" t="n"/>
      <c r="B210" s="20" t="n"/>
      <c r="C210" s="21">
        <f>IF(B210="","",DATE(YEAR(B210),MONTH(B210),1))</f>
        <v/>
      </c>
      <c r="D210" s="19" t="n"/>
      <c r="E210" s="19" t="n"/>
      <c r="F210" s="19" t="n"/>
      <c r="G210" s="19" t="n"/>
      <c r="H210" s="19" t="n"/>
      <c r="I210" s="19" t="n"/>
      <c r="J210" s="19" t="n"/>
      <c r="K210" s="20" t="n"/>
      <c r="L210" s="22">
        <f>IF(OR(B210="",K210=""),"",K210-B210)</f>
        <v/>
      </c>
      <c r="M210" s="19" t="n"/>
      <c r="N210" s="19" t="n"/>
      <c r="O210" s="20" t="n"/>
      <c r="P210" s="19" t="n"/>
    </row>
    <row r="211">
      <c r="A211" s="19" t="n"/>
      <c r="B211" s="20" t="n"/>
      <c r="C211" s="21">
        <f>IF(B211="","",DATE(YEAR(B211),MONTH(B211),1))</f>
        <v/>
      </c>
      <c r="D211" s="19" t="n"/>
      <c r="E211" s="19" t="n"/>
      <c r="F211" s="19" t="n"/>
      <c r="G211" s="19" t="n"/>
      <c r="H211" s="19" t="n"/>
      <c r="I211" s="19" t="n"/>
      <c r="J211" s="19" t="n"/>
      <c r="K211" s="20" t="n"/>
      <c r="L211" s="22">
        <f>IF(OR(B211="",K211=""),"",K211-B211)</f>
        <v/>
      </c>
      <c r="M211" s="19" t="n"/>
      <c r="N211" s="19" t="n"/>
      <c r="O211" s="20" t="n"/>
      <c r="P211" s="19" t="n"/>
    </row>
    <row r="212">
      <c r="A212" s="19" t="n"/>
      <c r="B212" s="20" t="n"/>
      <c r="C212" s="21">
        <f>IF(B212="","",DATE(YEAR(B212),MONTH(B212),1))</f>
        <v/>
      </c>
      <c r="D212" s="19" t="n"/>
      <c r="E212" s="19" t="n"/>
      <c r="F212" s="19" t="n"/>
      <c r="G212" s="19" t="n"/>
      <c r="H212" s="19" t="n"/>
      <c r="I212" s="19" t="n"/>
      <c r="J212" s="19" t="n"/>
      <c r="K212" s="20" t="n"/>
      <c r="L212" s="22">
        <f>IF(OR(B212="",K212=""),"",K212-B212)</f>
        <v/>
      </c>
      <c r="M212" s="19" t="n"/>
      <c r="N212" s="19" t="n"/>
      <c r="O212" s="20" t="n"/>
      <c r="P212" s="19" t="n"/>
    </row>
    <row r="213">
      <c r="A213" s="19" t="n"/>
      <c r="B213" s="20" t="n"/>
      <c r="C213" s="21">
        <f>IF(B213="","",DATE(YEAR(B213),MONTH(B213),1))</f>
        <v/>
      </c>
      <c r="D213" s="19" t="n"/>
      <c r="E213" s="19" t="n"/>
      <c r="F213" s="19" t="n"/>
      <c r="G213" s="19" t="n"/>
      <c r="H213" s="19" t="n"/>
      <c r="I213" s="19" t="n"/>
      <c r="J213" s="19" t="n"/>
      <c r="K213" s="20" t="n"/>
      <c r="L213" s="22">
        <f>IF(OR(B213="",K213=""),"",K213-B213)</f>
        <v/>
      </c>
      <c r="M213" s="19" t="n"/>
      <c r="N213" s="19" t="n"/>
      <c r="O213" s="20" t="n"/>
      <c r="P213" s="19" t="n"/>
    </row>
    <row r="214">
      <c r="A214" s="19" t="n"/>
      <c r="B214" s="20" t="n"/>
      <c r="C214" s="21">
        <f>IF(B214="","",DATE(YEAR(B214),MONTH(B214),1))</f>
        <v/>
      </c>
      <c r="D214" s="19" t="n"/>
      <c r="E214" s="19" t="n"/>
      <c r="F214" s="19" t="n"/>
      <c r="G214" s="19" t="n"/>
      <c r="H214" s="19" t="n"/>
      <c r="I214" s="19" t="n"/>
      <c r="J214" s="19" t="n"/>
      <c r="K214" s="20" t="n"/>
      <c r="L214" s="22">
        <f>IF(OR(B214="",K214=""),"",K214-B214)</f>
        <v/>
      </c>
      <c r="M214" s="19" t="n"/>
      <c r="N214" s="19" t="n"/>
      <c r="O214" s="20" t="n"/>
      <c r="P214" s="19" t="n"/>
    </row>
    <row r="215">
      <c r="A215" s="19" t="n"/>
      <c r="B215" s="20" t="n"/>
      <c r="C215" s="21">
        <f>IF(B215="","",DATE(YEAR(B215),MONTH(B215),1))</f>
        <v/>
      </c>
      <c r="D215" s="19" t="n"/>
      <c r="E215" s="19" t="n"/>
      <c r="F215" s="19" t="n"/>
      <c r="G215" s="19" t="n"/>
      <c r="H215" s="19" t="n"/>
      <c r="I215" s="19" t="n"/>
      <c r="J215" s="19" t="n"/>
      <c r="K215" s="20" t="n"/>
      <c r="L215" s="22">
        <f>IF(OR(B215="",K215=""),"",K215-B215)</f>
        <v/>
      </c>
      <c r="M215" s="19" t="n"/>
      <c r="N215" s="19" t="n"/>
      <c r="O215" s="20" t="n"/>
      <c r="P215" s="19" t="n"/>
    </row>
    <row r="216">
      <c r="A216" s="19" t="n"/>
      <c r="B216" s="20" t="n"/>
      <c r="C216" s="21">
        <f>IF(B216="","",DATE(YEAR(B216),MONTH(B216),1))</f>
        <v/>
      </c>
      <c r="D216" s="19" t="n"/>
      <c r="E216" s="19" t="n"/>
      <c r="F216" s="19" t="n"/>
      <c r="G216" s="19" t="n"/>
      <c r="H216" s="19" t="n"/>
      <c r="I216" s="19" t="n"/>
      <c r="J216" s="19" t="n"/>
      <c r="K216" s="20" t="n"/>
      <c r="L216" s="22">
        <f>IF(OR(B216="",K216=""),"",K216-B216)</f>
        <v/>
      </c>
      <c r="M216" s="19" t="n"/>
      <c r="N216" s="19" t="n"/>
      <c r="O216" s="20" t="n"/>
      <c r="P216" s="19" t="n"/>
    </row>
    <row r="217">
      <c r="A217" s="19" t="n"/>
      <c r="B217" s="20" t="n"/>
      <c r="C217" s="21">
        <f>IF(B217="","",DATE(YEAR(B217),MONTH(B217),1))</f>
        <v/>
      </c>
      <c r="D217" s="19" t="n"/>
      <c r="E217" s="19" t="n"/>
      <c r="F217" s="19" t="n"/>
      <c r="G217" s="19" t="n"/>
      <c r="H217" s="19" t="n"/>
      <c r="I217" s="19" t="n"/>
      <c r="J217" s="19" t="n"/>
      <c r="K217" s="20" t="n"/>
      <c r="L217" s="22">
        <f>IF(OR(B217="",K217=""),"",K217-B217)</f>
        <v/>
      </c>
      <c r="M217" s="19" t="n"/>
      <c r="N217" s="19" t="n"/>
      <c r="O217" s="20" t="n"/>
      <c r="P217" s="19" t="n"/>
    </row>
    <row r="218">
      <c r="A218" s="19" t="n"/>
      <c r="B218" s="20" t="n"/>
      <c r="C218" s="21">
        <f>IF(B218="","",DATE(YEAR(B218),MONTH(B218),1))</f>
        <v/>
      </c>
      <c r="D218" s="19" t="n"/>
      <c r="E218" s="19" t="n"/>
      <c r="F218" s="19" t="n"/>
      <c r="G218" s="19" t="n"/>
      <c r="H218" s="19" t="n"/>
      <c r="I218" s="19" t="n"/>
      <c r="J218" s="19" t="n"/>
      <c r="K218" s="20" t="n"/>
      <c r="L218" s="22">
        <f>IF(OR(B218="",K218=""),"",K218-B218)</f>
        <v/>
      </c>
      <c r="M218" s="19" t="n"/>
      <c r="N218" s="19" t="n"/>
      <c r="O218" s="20" t="n"/>
      <c r="P218" s="19" t="n"/>
    </row>
    <row r="219">
      <c r="A219" s="19" t="n"/>
      <c r="B219" s="20" t="n"/>
      <c r="C219" s="21">
        <f>IF(B219="","",DATE(YEAR(B219),MONTH(B219),1))</f>
        <v/>
      </c>
      <c r="D219" s="19" t="n"/>
      <c r="E219" s="19" t="n"/>
      <c r="F219" s="19" t="n"/>
      <c r="G219" s="19" t="n"/>
      <c r="H219" s="19" t="n"/>
      <c r="I219" s="19" t="n"/>
      <c r="J219" s="19" t="n"/>
      <c r="K219" s="20" t="n"/>
      <c r="L219" s="22">
        <f>IF(OR(B219="",K219=""),"",K219-B219)</f>
        <v/>
      </c>
      <c r="M219" s="19" t="n"/>
      <c r="N219" s="19" t="n"/>
      <c r="O219" s="20" t="n"/>
      <c r="P219" s="19" t="n"/>
    </row>
    <row r="220">
      <c r="A220" s="19" t="n"/>
      <c r="B220" s="20" t="n"/>
      <c r="C220" s="21">
        <f>IF(B220="","",DATE(YEAR(B220),MONTH(B220),1))</f>
        <v/>
      </c>
      <c r="D220" s="19" t="n"/>
      <c r="E220" s="19" t="n"/>
      <c r="F220" s="19" t="n"/>
      <c r="G220" s="19" t="n"/>
      <c r="H220" s="19" t="n"/>
      <c r="I220" s="19" t="n"/>
      <c r="J220" s="19" t="n"/>
      <c r="K220" s="20" t="n"/>
      <c r="L220" s="22">
        <f>IF(OR(B220="",K220=""),"",K220-B220)</f>
        <v/>
      </c>
      <c r="M220" s="19" t="n"/>
      <c r="N220" s="19" t="n"/>
      <c r="O220" s="20" t="n"/>
      <c r="P220" s="19" t="n"/>
    </row>
    <row r="221">
      <c r="A221" s="19" t="n"/>
      <c r="B221" s="20" t="n"/>
      <c r="C221" s="21">
        <f>IF(B221="","",DATE(YEAR(B221),MONTH(B221),1))</f>
        <v/>
      </c>
      <c r="D221" s="19" t="n"/>
      <c r="E221" s="19" t="n"/>
      <c r="F221" s="19" t="n"/>
      <c r="G221" s="19" t="n"/>
      <c r="H221" s="19" t="n"/>
      <c r="I221" s="19" t="n"/>
      <c r="J221" s="19" t="n"/>
      <c r="K221" s="20" t="n"/>
      <c r="L221" s="22">
        <f>IF(OR(B221="",K221=""),"",K221-B221)</f>
        <v/>
      </c>
      <c r="M221" s="19" t="n"/>
      <c r="N221" s="19" t="n"/>
      <c r="O221" s="20" t="n"/>
      <c r="P221" s="19" t="n"/>
    </row>
    <row r="222">
      <c r="A222" s="19" t="n"/>
      <c r="B222" s="20" t="n"/>
      <c r="C222" s="21">
        <f>IF(B222="","",DATE(YEAR(B222),MONTH(B222),1))</f>
        <v/>
      </c>
      <c r="D222" s="19" t="n"/>
      <c r="E222" s="19" t="n"/>
      <c r="F222" s="19" t="n"/>
      <c r="G222" s="19" t="n"/>
      <c r="H222" s="19" t="n"/>
      <c r="I222" s="19" t="n"/>
      <c r="J222" s="19" t="n"/>
      <c r="K222" s="20" t="n"/>
      <c r="L222" s="22">
        <f>IF(OR(B222="",K222=""),"",K222-B222)</f>
        <v/>
      </c>
      <c r="M222" s="19" t="n"/>
      <c r="N222" s="19" t="n"/>
      <c r="O222" s="20" t="n"/>
      <c r="P222" s="19" t="n"/>
    </row>
    <row r="223">
      <c r="A223" s="19" t="n"/>
      <c r="B223" s="20" t="n"/>
      <c r="C223" s="21">
        <f>IF(B223="","",DATE(YEAR(B223),MONTH(B223),1))</f>
        <v/>
      </c>
      <c r="D223" s="19" t="n"/>
      <c r="E223" s="19" t="n"/>
      <c r="F223" s="19" t="n"/>
      <c r="G223" s="19" t="n"/>
      <c r="H223" s="19" t="n"/>
      <c r="I223" s="19" t="n"/>
      <c r="J223" s="19" t="n"/>
      <c r="K223" s="20" t="n"/>
      <c r="L223" s="22">
        <f>IF(OR(B223="",K223=""),"",K223-B223)</f>
        <v/>
      </c>
      <c r="M223" s="19" t="n"/>
      <c r="N223" s="19" t="n"/>
      <c r="O223" s="20" t="n"/>
      <c r="P223" s="19" t="n"/>
    </row>
    <row r="224">
      <c r="A224" s="19" t="n"/>
      <c r="B224" s="20" t="n"/>
      <c r="C224" s="21">
        <f>IF(B224="","",DATE(YEAR(B224),MONTH(B224),1))</f>
        <v/>
      </c>
      <c r="D224" s="19" t="n"/>
      <c r="E224" s="19" t="n"/>
      <c r="F224" s="19" t="n"/>
      <c r="G224" s="19" t="n"/>
      <c r="H224" s="19" t="n"/>
      <c r="I224" s="19" t="n"/>
      <c r="J224" s="19" t="n"/>
      <c r="K224" s="20" t="n"/>
      <c r="L224" s="22">
        <f>IF(OR(B224="",K224=""),"",K224-B224)</f>
        <v/>
      </c>
      <c r="M224" s="19" t="n"/>
      <c r="N224" s="19" t="n"/>
      <c r="O224" s="20" t="n"/>
      <c r="P224" s="19" t="n"/>
    </row>
    <row r="225">
      <c r="A225" s="19" t="n"/>
      <c r="B225" s="20" t="n"/>
      <c r="C225" s="21">
        <f>IF(B225="","",DATE(YEAR(B225),MONTH(B225),1))</f>
        <v/>
      </c>
      <c r="D225" s="19" t="n"/>
      <c r="E225" s="19" t="n"/>
      <c r="F225" s="19" t="n"/>
      <c r="G225" s="19" t="n"/>
      <c r="H225" s="19" t="n"/>
      <c r="I225" s="19" t="n"/>
      <c r="J225" s="19" t="n"/>
      <c r="K225" s="20" t="n"/>
      <c r="L225" s="22">
        <f>IF(OR(B225="",K225=""),"",K225-B225)</f>
        <v/>
      </c>
      <c r="M225" s="19" t="n"/>
      <c r="N225" s="19" t="n"/>
      <c r="O225" s="20" t="n"/>
      <c r="P225" s="19" t="n"/>
    </row>
    <row r="226">
      <c r="A226" s="19" t="n"/>
      <c r="B226" s="20" t="n"/>
      <c r="C226" s="21">
        <f>IF(B226="","",DATE(YEAR(B226),MONTH(B226),1))</f>
        <v/>
      </c>
      <c r="D226" s="19" t="n"/>
      <c r="E226" s="19" t="n"/>
      <c r="F226" s="19" t="n"/>
      <c r="G226" s="19" t="n"/>
      <c r="H226" s="19" t="n"/>
      <c r="I226" s="19" t="n"/>
      <c r="J226" s="19" t="n"/>
      <c r="K226" s="20" t="n"/>
      <c r="L226" s="22">
        <f>IF(OR(B226="",K226=""),"",K226-B226)</f>
        <v/>
      </c>
      <c r="M226" s="19" t="n"/>
      <c r="N226" s="19" t="n"/>
      <c r="O226" s="20" t="n"/>
      <c r="P226" s="19" t="n"/>
    </row>
    <row r="227">
      <c r="A227" s="19" t="n"/>
      <c r="B227" s="20" t="n"/>
      <c r="C227" s="21">
        <f>IF(B227="","",DATE(YEAR(B227),MONTH(B227),1))</f>
        <v/>
      </c>
      <c r="D227" s="19" t="n"/>
      <c r="E227" s="19" t="n"/>
      <c r="F227" s="19" t="n"/>
      <c r="G227" s="19" t="n"/>
      <c r="H227" s="19" t="n"/>
      <c r="I227" s="19" t="n"/>
      <c r="J227" s="19" t="n"/>
      <c r="K227" s="20" t="n"/>
      <c r="L227" s="22">
        <f>IF(OR(B227="",K227=""),"",K227-B227)</f>
        <v/>
      </c>
      <c r="M227" s="19" t="n"/>
      <c r="N227" s="19" t="n"/>
      <c r="O227" s="20" t="n"/>
      <c r="P227" s="19" t="n"/>
    </row>
    <row r="228">
      <c r="A228" s="19" t="n"/>
      <c r="B228" s="20" t="n"/>
      <c r="C228" s="21">
        <f>IF(B228="","",DATE(YEAR(B228),MONTH(B228),1))</f>
        <v/>
      </c>
      <c r="D228" s="19" t="n"/>
      <c r="E228" s="19" t="n"/>
      <c r="F228" s="19" t="n"/>
      <c r="G228" s="19" t="n"/>
      <c r="H228" s="19" t="n"/>
      <c r="I228" s="19" t="n"/>
      <c r="J228" s="19" t="n"/>
      <c r="K228" s="20" t="n"/>
      <c r="L228" s="22">
        <f>IF(OR(B228="",K228=""),"",K228-B228)</f>
        <v/>
      </c>
      <c r="M228" s="19" t="n"/>
      <c r="N228" s="19" t="n"/>
      <c r="O228" s="20" t="n"/>
      <c r="P228" s="19" t="n"/>
    </row>
    <row r="229">
      <c r="A229" s="19" t="n"/>
      <c r="B229" s="20" t="n"/>
      <c r="C229" s="21">
        <f>IF(B229="","",DATE(YEAR(B229),MONTH(B229),1))</f>
        <v/>
      </c>
      <c r="D229" s="19" t="n"/>
      <c r="E229" s="19" t="n"/>
      <c r="F229" s="19" t="n"/>
      <c r="G229" s="19" t="n"/>
      <c r="H229" s="19" t="n"/>
      <c r="I229" s="19" t="n"/>
      <c r="J229" s="19" t="n"/>
      <c r="K229" s="20" t="n"/>
      <c r="L229" s="22">
        <f>IF(OR(B229="",K229=""),"",K229-B229)</f>
        <v/>
      </c>
      <c r="M229" s="19" t="n"/>
      <c r="N229" s="19" t="n"/>
      <c r="O229" s="20" t="n"/>
      <c r="P229" s="19" t="n"/>
    </row>
    <row r="230">
      <c r="A230" s="19" t="n"/>
      <c r="B230" s="20" t="n"/>
      <c r="C230" s="21">
        <f>IF(B230="","",DATE(YEAR(B230),MONTH(B230),1))</f>
        <v/>
      </c>
      <c r="D230" s="19" t="n"/>
      <c r="E230" s="19" t="n"/>
      <c r="F230" s="19" t="n"/>
      <c r="G230" s="19" t="n"/>
      <c r="H230" s="19" t="n"/>
      <c r="I230" s="19" t="n"/>
      <c r="J230" s="19" t="n"/>
      <c r="K230" s="20" t="n"/>
      <c r="L230" s="22">
        <f>IF(OR(B230="",K230=""),"",K230-B230)</f>
        <v/>
      </c>
      <c r="M230" s="19" t="n"/>
      <c r="N230" s="19" t="n"/>
      <c r="O230" s="20" t="n"/>
      <c r="P230" s="19" t="n"/>
    </row>
    <row r="231">
      <c r="A231" s="19" t="n"/>
      <c r="B231" s="20" t="n"/>
      <c r="C231" s="21">
        <f>IF(B231="","",DATE(YEAR(B231),MONTH(B231),1))</f>
        <v/>
      </c>
      <c r="D231" s="19" t="n"/>
      <c r="E231" s="19" t="n"/>
      <c r="F231" s="19" t="n"/>
      <c r="G231" s="19" t="n"/>
      <c r="H231" s="19" t="n"/>
      <c r="I231" s="19" t="n"/>
      <c r="J231" s="19" t="n"/>
      <c r="K231" s="20" t="n"/>
      <c r="L231" s="22">
        <f>IF(OR(B231="",K231=""),"",K231-B231)</f>
        <v/>
      </c>
      <c r="M231" s="19" t="n"/>
      <c r="N231" s="19" t="n"/>
      <c r="O231" s="20" t="n"/>
      <c r="P231" s="19" t="n"/>
    </row>
    <row r="232">
      <c r="A232" s="19" t="n"/>
      <c r="B232" s="20" t="n"/>
      <c r="C232" s="21">
        <f>IF(B232="","",DATE(YEAR(B232),MONTH(B232),1))</f>
        <v/>
      </c>
      <c r="D232" s="19" t="n"/>
      <c r="E232" s="19" t="n"/>
      <c r="F232" s="19" t="n"/>
      <c r="G232" s="19" t="n"/>
      <c r="H232" s="19" t="n"/>
      <c r="I232" s="19" t="n"/>
      <c r="J232" s="19" t="n"/>
      <c r="K232" s="20" t="n"/>
      <c r="L232" s="22">
        <f>IF(OR(B232="",K232=""),"",K232-B232)</f>
        <v/>
      </c>
      <c r="M232" s="19" t="n"/>
      <c r="N232" s="19" t="n"/>
      <c r="O232" s="20" t="n"/>
      <c r="P232" s="19" t="n"/>
    </row>
    <row r="233">
      <c r="A233" s="19" t="n"/>
      <c r="B233" s="20" t="n"/>
      <c r="C233" s="21">
        <f>IF(B233="","",DATE(YEAR(B233),MONTH(B233),1))</f>
        <v/>
      </c>
      <c r="D233" s="19" t="n"/>
      <c r="E233" s="19" t="n"/>
      <c r="F233" s="19" t="n"/>
      <c r="G233" s="19" t="n"/>
      <c r="H233" s="19" t="n"/>
      <c r="I233" s="19" t="n"/>
      <c r="J233" s="19" t="n"/>
      <c r="K233" s="20" t="n"/>
      <c r="L233" s="22">
        <f>IF(OR(B233="",K233=""),"",K233-B233)</f>
        <v/>
      </c>
      <c r="M233" s="19" t="n"/>
      <c r="N233" s="19" t="n"/>
      <c r="O233" s="20" t="n"/>
      <c r="P233" s="19" t="n"/>
    </row>
    <row r="234">
      <c r="A234" s="19" t="n"/>
      <c r="B234" s="20" t="n"/>
      <c r="C234" s="21">
        <f>IF(B234="","",DATE(YEAR(B234),MONTH(B234),1))</f>
        <v/>
      </c>
      <c r="D234" s="19" t="n"/>
      <c r="E234" s="19" t="n"/>
      <c r="F234" s="19" t="n"/>
      <c r="G234" s="19" t="n"/>
      <c r="H234" s="19" t="n"/>
      <c r="I234" s="19" t="n"/>
      <c r="J234" s="19" t="n"/>
      <c r="K234" s="20" t="n"/>
      <c r="L234" s="22">
        <f>IF(OR(B234="",K234=""),"",K234-B234)</f>
        <v/>
      </c>
      <c r="M234" s="19" t="n"/>
      <c r="N234" s="19" t="n"/>
      <c r="O234" s="20" t="n"/>
      <c r="P234" s="19" t="n"/>
    </row>
    <row r="235">
      <c r="A235" s="19" t="n"/>
      <c r="B235" s="20" t="n"/>
      <c r="C235" s="21">
        <f>IF(B235="","",DATE(YEAR(B235),MONTH(B235),1))</f>
        <v/>
      </c>
      <c r="D235" s="19" t="n"/>
      <c r="E235" s="19" t="n"/>
      <c r="F235" s="19" t="n"/>
      <c r="G235" s="19" t="n"/>
      <c r="H235" s="19" t="n"/>
      <c r="I235" s="19" t="n"/>
      <c r="J235" s="19" t="n"/>
      <c r="K235" s="20" t="n"/>
      <c r="L235" s="22">
        <f>IF(OR(B235="",K235=""),"",K235-B235)</f>
        <v/>
      </c>
      <c r="M235" s="19" t="n"/>
      <c r="N235" s="19" t="n"/>
      <c r="O235" s="20" t="n"/>
      <c r="P235" s="19" t="n"/>
    </row>
    <row r="236">
      <c r="A236" s="19" t="n"/>
      <c r="B236" s="20" t="n"/>
      <c r="C236" s="21">
        <f>IF(B236="","",DATE(YEAR(B236),MONTH(B236),1))</f>
        <v/>
      </c>
      <c r="D236" s="19" t="n"/>
      <c r="E236" s="19" t="n"/>
      <c r="F236" s="19" t="n"/>
      <c r="G236" s="19" t="n"/>
      <c r="H236" s="19" t="n"/>
      <c r="I236" s="19" t="n"/>
      <c r="J236" s="19" t="n"/>
      <c r="K236" s="20" t="n"/>
      <c r="L236" s="22">
        <f>IF(OR(B236="",K236=""),"",K236-B236)</f>
        <v/>
      </c>
      <c r="M236" s="19" t="n"/>
      <c r="N236" s="19" t="n"/>
      <c r="O236" s="20" t="n"/>
      <c r="P236" s="19" t="n"/>
    </row>
    <row r="237">
      <c r="A237" s="19" t="n"/>
      <c r="B237" s="20" t="n"/>
      <c r="C237" s="21">
        <f>IF(B237="","",DATE(YEAR(B237),MONTH(B237),1))</f>
        <v/>
      </c>
      <c r="D237" s="19" t="n"/>
      <c r="E237" s="19" t="n"/>
      <c r="F237" s="19" t="n"/>
      <c r="G237" s="19" t="n"/>
      <c r="H237" s="19" t="n"/>
      <c r="I237" s="19" t="n"/>
      <c r="J237" s="19" t="n"/>
      <c r="K237" s="20" t="n"/>
      <c r="L237" s="22">
        <f>IF(OR(B237="",K237=""),"",K237-B237)</f>
        <v/>
      </c>
      <c r="M237" s="19" t="n"/>
      <c r="N237" s="19" t="n"/>
      <c r="O237" s="20" t="n"/>
      <c r="P237" s="19" t="n"/>
    </row>
    <row r="238">
      <c r="A238" s="19" t="n"/>
      <c r="B238" s="20" t="n"/>
      <c r="C238" s="21">
        <f>IF(B238="","",DATE(YEAR(B238),MONTH(B238),1))</f>
        <v/>
      </c>
      <c r="D238" s="19" t="n"/>
      <c r="E238" s="19" t="n"/>
      <c r="F238" s="19" t="n"/>
      <c r="G238" s="19" t="n"/>
      <c r="H238" s="19" t="n"/>
      <c r="I238" s="19" t="n"/>
      <c r="J238" s="19" t="n"/>
      <c r="K238" s="20" t="n"/>
      <c r="L238" s="22">
        <f>IF(OR(B238="",K238=""),"",K238-B238)</f>
        <v/>
      </c>
      <c r="M238" s="19" t="n"/>
      <c r="N238" s="19" t="n"/>
      <c r="O238" s="20" t="n"/>
      <c r="P238" s="19" t="n"/>
    </row>
    <row r="239">
      <c r="A239" s="19" t="n"/>
      <c r="B239" s="20" t="n"/>
      <c r="C239" s="21">
        <f>IF(B239="","",DATE(YEAR(B239),MONTH(B239),1))</f>
        <v/>
      </c>
      <c r="D239" s="19" t="n"/>
      <c r="E239" s="19" t="n"/>
      <c r="F239" s="19" t="n"/>
      <c r="G239" s="19" t="n"/>
      <c r="H239" s="19" t="n"/>
      <c r="I239" s="19" t="n"/>
      <c r="J239" s="19" t="n"/>
      <c r="K239" s="20" t="n"/>
      <c r="L239" s="22">
        <f>IF(OR(B239="",K239=""),"",K239-B239)</f>
        <v/>
      </c>
      <c r="M239" s="19" t="n"/>
      <c r="N239" s="19" t="n"/>
      <c r="O239" s="20" t="n"/>
      <c r="P239" s="19" t="n"/>
    </row>
    <row r="240">
      <c r="A240" s="19" t="n"/>
      <c r="B240" s="20" t="n"/>
      <c r="C240" s="21">
        <f>IF(B240="","",DATE(YEAR(B240),MONTH(B240),1))</f>
        <v/>
      </c>
      <c r="D240" s="19" t="n"/>
      <c r="E240" s="19" t="n"/>
      <c r="F240" s="19" t="n"/>
      <c r="G240" s="19" t="n"/>
      <c r="H240" s="19" t="n"/>
      <c r="I240" s="19" t="n"/>
      <c r="J240" s="19" t="n"/>
      <c r="K240" s="20" t="n"/>
      <c r="L240" s="22">
        <f>IF(OR(B240="",K240=""),"",K240-B240)</f>
        <v/>
      </c>
      <c r="M240" s="19" t="n"/>
      <c r="N240" s="19" t="n"/>
      <c r="O240" s="20" t="n"/>
      <c r="P240" s="19" t="n"/>
    </row>
    <row r="241">
      <c r="A241" s="19" t="n"/>
      <c r="B241" s="20" t="n"/>
      <c r="C241" s="21">
        <f>IF(B241="","",DATE(YEAR(B241),MONTH(B241),1))</f>
        <v/>
      </c>
      <c r="D241" s="19" t="n"/>
      <c r="E241" s="19" t="n"/>
      <c r="F241" s="19" t="n"/>
      <c r="G241" s="19" t="n"/>
      <c r="H241" s="19" t="n"/>
      <c r="I241" s="19" t="n"/>
      <c r="J241" s="19" t="n"/>
      <c r="K241" s="20" t="n"/>
      <c r="L241" s="22">
        <f>IF(OR(B241="",K241=""),"",K241-B241)</f>
        <v/>
      </c>
      <c r="M241" s="19" t="n"/>
      <c r="N241" s="19" t="n"/>
      <c r="O241" s="20" t="n"/>
      <c r="P241" s="19" t="n"/>
    </row>
    <row r="242">
      <c r="A242" s="19" t="n"/>
      <c r="B242" s="20" t="n"/>
      <c r="C242" s="21">
        <f>IF(B242="","",DATE(YEAR(B242),MONTH(B242),1))</f>
        <v/>
      </c>
      <c r="D242" s="19" t="n"/>
      <c r="E242" s="19" t="n"/>
      <c r="F242" s="19" t="n"/>
      <c r="G242" s="19" t="n"/>
      <c r="H242" s="19" t="n"/>
      <c r="I242" s="19" t="n"/>
      <c r="J242" s="19" t="n"/>
      <c r="K242" s="20" t="n"/>
      <c r="L242" s="22">
        <f>IF(OR(B242="",K242=""),"",K242-B242)</f>
        <v/>
      </c>
      <c r="M242" s="19" t="n"/>
      <c r="N242" s="19" t="n"/>
      <c r="O242" s="20" t="n"/>
      <c r="P242" s="19" t="n"/>
    </row>
    <row r="243">
      <c r="A243" s="19" t="n"/>
      <c r="B243" s="20" t="n"/>
      <c r="C243" s="21">
        <f>IF(B243="","",DATE(YEAR(B243),MONTH(B243),1))</f>
        <v/>
      </c>
      <c r="D243" s="19" t="n"/>
      <c r="E243" s="19" t="n"/>
      <c r="F243" s="19" t="n"/>
      <c r="G243" s="19" t="n"/>
      <c r="H243" s="19" t="n"/>
      <c r="I243" s="19" t="n"/>
      <c r="J243" s="19" t="n"/>
      <c r="K243" s="20" t="n"/>
      <c r="L243" s="22">
        <f>IF(OR(B243="",K243=""),"",K243-B243)</f>
        <v/>
      </c>
      <c r="M243" s="19" t="n"/>
      <c r="N243" s="19" t="n"/>
      <c r="O243" s="20" t="n"/>
      <c r="P243" s="19" t="n"/>
    </row>
    <row r="244">
      <c r="A244" s="19" t="n"/>
      <c r="B244" s="20" t="n"/>
      <c r="C244" s="21">
        <f>IF(B244="","",DATE(YEAR(B244),MONTH(B244),1))</f>
        <v/>
      </c>
      <c r="D244" s="19" t="n"/>
      <c r="E244" s="19" t="n"/>
      <c r="F244" s="19" t="n"/>
      <c r="G244" s="19" t="n"/>
      <c r="H244" s="19" t="n"/>
      <c r="I244" s="19" t="n"/>
      <c r="J244" s="19" t="n"/>
      <c r="K244" s="20" t="n"/>
      <c r="L244" s="22">
        <f>IF(OR(B244="",K244=""),"",K244-B244)</f>
        <v/>
      </c>
      <c r="M244" s="19" t="n"/>
      <c r="N244" s="19" t="n"/>
      <c r="O244" s="20" t="n"/>
      <c r="P244" s="19" t="n"/>
    </row>
    <row r="245">
      <c r="A245" s="19" t="n"/>
      <c r="B245" s="20" t="n"/>
      <c r="C245" s="21">
        <f>IF(B245="","",DATE(YEAR(B245),MONTH(B245),1))</f>
        <v/>
      </c>
      <c r="D245" s="19" t="n"/>
      <c r="E245" s="19" t="n"/>
      <c r="F245" s="19" t="n"/>
      <c r="G245" s="19" t="n"/>
      <c r="H245" s="19" t="n"/>
      <c r="I245" s="19" t="n"/>
      <c r="J245" s="19" t="n"/>
      <c r="K245" s="20" t="n"/>
      <c r="L245" s="22">
        <f>IF(OR(B245="",K245=""),"",K245-B245)</f>
        <v/>
      </c>
      <c r="M245" s="19" t="n"/>
      <c r="N245" s="19" t="n"/>
      <c r="O245" s="20" t="n"/>
      <c r="P245" s="19" t="n"/>
    </row>
    <row r="246">
      <c r="A246" s="19" t="n"/>
      <c r="B246" s="20" t="n"/>
      <c r="C246" s="21">
        <f>IF(B246="","",DATE(YEAR(B246),MONTH(B246),1))</f>
        <v/>
      </c>
      <c r="D246" s="19" t="n"/>
      <c r="E246" s="19" t="n"/>
      <c r="F246" s="19" t="n"/>
      <c r="G246" s="19" t="n"/>
      <c r="H246" s="19" t="n"/>
      <c r="I246" s="19" t="n"/>
      <c r="J246" s="19" t="n"/>
      <c r="K246" s="20" t="n"/>
      <c r="L246" s="22">
        <f>IF(OR(B246="",K246=""),"",K246-B246)</f>
        <v/>
      </c>
      <c r="M246" s="19" t="n"/>
      <c r="N246" s="19" t="n"/>
      <c r="O246" s="20" t="n"/>
      <c r="P246" s="19" t="n"/>
    </row>
    <row r="247">
      <c r="A247" s="19" t="n"/>
      <c r="B247" s="20" t="n"/>
      <c r="C247" s="21">
        <f>IF(B247="","",DATE(YEAR(B247),MONTH(B247),1))</f>
        <v/>
      </c>
      <c r="D247" s="19" t="n"/>
      <c r="E247" s="19" t="n"/>
      <c r="F247" s="19" t="n"/>
      <c r="G247" s="19" t="n"/>
      <c r="H247" s="19" t="n"/>
      <c r="I247" s="19" t="n"/>
      <c r="J247" s="19" t="n"/>
      <c r="K247" s="20" t="n"/>
      <c r="L247" s="22">
        <f>IF(OR(B247="",K247=""),"",K247-B247)</f>
        <v/>
      </c>
      <c r="M247" s="19" t="n"/>
      <c r="N247" s="19" t="n"/>
      <c r="O247" s="20" t="n"/>
      <c r="P247" s="19" t="n"/>
    </row>
    <row r="248">
      <c r="A248" s="19" t="n"/>
      <c r="B248" s="20" t="n"/>
      <c r="C248" s="21">
        <f>IF(B248="","",DATE(YEAR(B248),MONTH(B248),1))</f>
        <v/>
      </c>
      <c r="D248" s="19" t="n"/>
      <c r="E248" s="19" t="n"/>
      <c r="F248" s="19" t="n"/>
      <c r="G248" s="19" t="n"/>
      <c r="H248" s="19" t="n"/>
      <c r="I248" s="19" t="n"/>
      <c r="J248" s="19" t="n"/>
      <c r="K248" s="20" t="n"/>
      <c r="L248" s="22">
        <f>IF(OR(B248="",K248=""),"",K248-B248)</f>
        <v/>
      </c>
      <c r="M248" s="19" t="n"/>
      <c r="N248" s="19" t="n"/>
      <c r="O248" s="20" t="n"/>
      <c r="P248" s="19" t="n"/>
    </row>
    <row r="249">
      <c r="A249" s="19" t="n"/>
      <c r="B249" s="20" t="n"/>
      <c r="C249" s="21">
        <f>IF(B249="","",DATE(YEAR(B249),MONTH(B249),1))</f>
        <v/>
      </c>
      <c r="D249" s="19" t="n"/>
      <c r="E249" s="19" t="n"/>
      <c r="F249" s="19" t="n"/>
      <c r="G249" s="19" t="n"/>
      <c r="H249" s="19" t="n"/>
      <c r="I249" s="19" t="n"/>
      <c r="J249" s="19" t="n"/>
      <c r="K249" s="20" t="n"/>
      <c r="L249" s="22">
        <f>IF(OR(B249="",K249=""),"",K249-B249)</f>
        <v/>
      </c>
      <c r="M249" s="19" t="n"/>
      <c r="N249" s="19" t="n"/>
      <c r="O249" s="20" t="n"/>
      <c r="P249" s="19" t="n"/>
    </row>
    <row r="250">
      <c r="A250" s="19" t="n"/>
      <c r="B250" s="20" t="n"/>
      <c r="C250" s="21">
        <f>IF(B250="","",DATE(YEAR(B250),MONTH(B250),1))</f>
        <v/>
      </c>
      <c r="D250" s="19" t="n"/>
      <c r="E250" s="19" t="n"/>
      <c r="F250" s="19" t="n"/>
      <c r="G250" s="19" t="n"/>
      <c r="H250" s="19" t="n"/>
      <c r="I250" s="19" t="n"/>
      <c r="J250" s="19" t="n"/>
      <c r="K250" s="20" t="n"/>
      <c r="L250" s="22">
        <f>IF(OR(B250="",K250=""),"",K250-B250)</f>
        <v/>
      </c>
      <c r="M250" s="19" t="n"/>
      <c r="N250" s="19" t="n"/>
      <c r="O250" s="20" t="n"/>
      <c r="P250" s="19" t="n"/>
    </row>
    <row r="251">
      <c r="A251" s="19" t="n"/>
      <c r="B251" s="20" t="n"/>
      <c r="C251" s="21">
        <f>IF(B251="","",DATE(YEAR(B251),MONTH(B251),1))</f>
        <v/>
      </c>
      <c r="D251" s="19" t="n"/>
      <c r="E251" s="19" t="n"/>
      <c r="F251" s="19" t="n"/>
      <c r="G251" s="19" t="n"/>
      <c r="H251" s="19" t="n"/>
      <c r="I251" s="19" t="n"/>
      <c r="J251" s="19" t="n"/>
      <c r="K251" s="20" t="n"/>
      <c r="L251" s="22">
        <f>IF(OR(B251="",K251=""),"",K251-B251)</f>
        <v/>
      </c>
      <c r="M251" s="19" t="n"/>
      <c r="N251" s="19" t="n"/>
      <c r="O251" s="20" t="n"/>
      <c r="P251" s="19" t="n"/>
    </row>
    <row r="252">
      <c r="A252" s="19" t="n"/>
      <c r="B252" s="20" t="n"/>
      <c r="C252" s="21">
        <f>IF(B252="","",DATE(YEAR(B252),MONTH(B252),1))</f>
        <v/>
      </c>
      <c r="D252" s="19" t="n"/>
      <c r="E252" s="19" t="n"/>
      <c r="F252" s="19" t="n"/>
      <c r="G252" s="19" t="n"/>
      <c r="H252" s="19" t="n"/>
      <c r="I252" s="19" t="n"/>
      <c r="J252" s="19" t="n"/>
      <c r="K252" s="20" t="n"/>
      <c r="L252" s="22">
        <f>IF(OR(B252="",K252=""),"",K252-B252)</f>
        <v/>
      </c>
      <c r="M252" s="19" t="n"/>
      <c r="N252" s="19" t="n"/>
      <c r="O252" s="20" t="n"/>
      <c r="P252" s="19" t="n"/>
    </row>
    <row r="253">
      <c r="A253" s="19" t="n"/>
      <c r="B253" s="20" t="n"/>
      <c r="C253" s="21">
        <f>IF(B253="","",DATE(YEAR(B253),MONTH(B253),1))</f>
        <v/>
      </c>
      <c r="D253" s="19" t="n"/>
      <c r="E253" s="19" t="n"/>
      <c r="F253" s="19" t="n"/>
      <c r="G253" s="19" t="n"/>
      <c r="H253" s="19" t="n"/>
      <c r="I253" s="19" t="n"/>
      <c r="J253" s="19" t="n"/>
      <c r="K253" s="20" t="n"/>
      <c r="L253" s="22">
        <f>IF(OR(B253="",K253=""),"",K253-B253)</f>
        <v/>
      </c>
      <c r="M253" s="19" t="n"/>
      <c r="N253" s="19" t="n"/>
      <c r="O253" s="20" t="n"/>
      <c r="P253" s="19" t="n"/>
    </row>
    <row r="254">
      <c r="A254" s="19" t="n"/>
      <c r="B254" s="20" t="n"/>
      <c r="C254" s="21">
        <f>IF(B254="","",DATE(YEAR(B254),MONTH(B254),1))</f>
        <v/>
      </c>
      <c r="D254" s="19" t="n"/>
      <c r="E254" s="19" t="n"/>
      <c r="F254" s="19" t="n"/>
      <c r="G254" s="19" t="n"/>
      <c r="H254" s="19" t="n"/>
      <c r="I254" s="19" t="n"/>
      <c r="J254" s="19" t="n"/>
      <c r="K254" s="20" t="n"/>
      <c r="L254" s="22">
        <f>IF(OR(B254="",K254=""),"",K254-B254)</f>
        <v/>
      </c>
      <c r="M254" s="19" t="n"/>
      <c r="N254" s="19" t="n"/>
      <c r="O254" s="20" t="n"/>
      <c r="P254" s="19" t="n"/>
    </row>
    <row r="255">
      <c r="A255" s="19" t="n"/>
      <c r="B255" s="20" t="n"/>
      <c r="C255" s="21">
        <f>IF(B255="","",DATE(YEAR(B255),MONTH(B255),1))</f>
        <v/>
      </c>
      <c r="D255" s="19" t="n"/>
      <c r="E255" s="19" t="n"/>
      <c r="F255" s="19" t="n"/>
      <c r="G255" s="19" t="n"/>
      <c r="H255" s="19" t="n"/>
      <c r="I255" s="19" t="n"/>
      <c r="J255" s="19" t="n"/>
      <c r="K255" s="20" t="n"/>
      <c r="L255" s="22">
        <f>IF(OR(B255="",K255=""),"",K255-B255)</f>
        <v/>
      </c>
      <c r="M255" s="19" t="n"/>
      <c r="N255" s="19" t="n"/>
      <c r="O255" s="20" t="n"/>
      <c r="P255" s="19" t="n"/>
    </row>
    <row r="256">
      <c r="A256" s="19" t="n"/>
      <c r="B256" s="20" t="n"/>
      <c r="C256" s="21">
        <f>IF(B256="","",DATE(YEAR(B256),MONTH(B256),1))</f>
        <v/>
      </c>
      <c r="D256" s="19" t="n"/>
      <c r="E256" s="19" t="n"/>
      <c r="F256" s="19" t="n"/>
      <c r="G256" s="19" t="n"/>
      <c r="H256" s="19" t="n"/>
      <c r="I256" s="19" t="n"/>
      <c r="J256" s="19" t="n"/>
      <c r="K256" s="20" t="n"/>
      <c r="L256" s="22">
        <f>IF(OR(B256="",K256=""),"",K256-B256)</f>
        <v/>
      </c>
      <c r="M256" s="19" t="n"/>
      <c r="N256" s="19" t="n"/>
      <c r="O256" s="20" t="n"/>
      <c r="P256" s="19" t="n"/>
    </row>
    <row r="257">
      <c r="A257" s="19" t="n"/>
      <c r="B257" s="20" t="n"/>
      <c r="C257" s="21">
        <f>IF(B257="","",DATE(YEAR(B257),MONTH(B257),1))</f>
        <v/>
      </c>
      <c r="D257" s="19" t="n"/>
      <c r="E257" s="19" t="n"/>
      <c r="F257" s="19" t="n"/>
      <c r="G257" s="19" t="n"/>
      <c r="H257" s="19" t="n"/>
      <c r="I257" s="19" t="n"/>
      <c r="J257" s="19" t="n"/>
      <c r="K257" s="20" t="n"/>
      <c r="L257" s="22">
        <f>IF(OR(B257="",K257=""),"",K257-B257)</f>
        <v/>
      </c>
      <c r="M257" s="19" t="n"/>
      <c r="N257" s="19" t="n"/>
      <c r="O257" s="20" t="n"/>
      <c r="P257" s="19" t="n"/>
    </row>
    <row r="258">
      <c r="A258" s="19" t="n"/>
      <c r="B258" s="20" t="n"/>
      <c r="C258" s="21">
        <f>IF(B258="","",DATE(YEAR(B258),MONTH(B258),1))</f>
        <v/>
      </c>
      <c r="D258" s="19" t="n"/>
      <c r="E258" s="19" t="n"/>
      <c r="F258" s="19" t="n"/>
      <c r="G258" s="19" t="n"/>
      <c r="H258" s="19" t="n"/>
      <c r="I258" s="19" t="n"/>
      <c r="J258" s="19" t="n"/>
      <c r="K258" s="20" t="n"/>
      <c r="L258" s="22">
        <f>IF(OR(B258="",K258=""),"",K258-B258)</f>
        <v/>
      </c>
      <c r="M258" s="19" t="n"/>
      <c r="N258" s="19" t="n"/>
      <c r="O258" s="20" t="n"/>
      <c r="P258" s="19" t="n"/>
    </row>
    <row r="259">
      <c r="A259" s="19" t="n"/>
      <c r="B259" s="20" t="n"/>
      <c r="C259" s="21">
        <f>IF(B259="","",DATE(YEAR(B259),MONTH(B259),1))</f>
        <v/>
      </c>
      <c r="D259" s="19" t="n"/>
      <c r="E259" s="19" t="n"/>
      <c r="F259" s="19" t="n"/>
      <c r="G259" s="19" t="n"/>
      <c r="H259" s="19" t="n"/>
      <c r="I259" s="19" t="n"/>
      <c r="J259" s="19" t="n"/>
      <c r="K259" s="20" t="n"/>
      <c r="L259" s="22">
        <f>IF(OR(B259="",K259=""),"",K259-B259)</f>
        <v/>
      </c>
      <c r="M259" s="19" t="n"/>
      <c r="N259" s="19" t="n"/>
      <c r="O259" s="20" t="n"/>
      <c r="P259" s="19" t="n"/>
    </row>
    <row r="260">
      <c r="A260" s="19" t="n"/>
      <c r="B260" s="20" t="n"/>
      <c r="C260" s="21">
        <f>IF(B260="","",DATE(YEAR(B260),MONTH(B260),1))</f>
        <v/>
      </c>
      <c r="D260" s="19" t="n"/>
      <c r="E260" s="19" t="n"/>
      <c r="F260" s="19" t="n"/>
      <c r="G260" s="19" t="n"/>
      <c r="H260" s="19" t="n"/>
      <c r="I260" s="19" t="n"/>
      <c r="J260" s="19" t="n"/>
      <c r="K260" s="20" t="n"/>
      <c r="L260" s="22">
        <f>IF(OR(B260="",K260=""),"",K260-B260)</f>
        <v/>
      </c>
      <c r="M260" s="19" t="n"/>
      <c r="N260" s="19" t="n"/>
      <c r="O260" s="20" t="n"/>
      <c r="P260" s="19" t="n"/>
    </row>
    <row r="261">
      <c r="A261" s="19" t="n"/>
      <c r="B261" s="20" t="n"/>
      <c r="C261" s="21">
        <f>IF(B261="","",DATE(YEAR(B261),MONTH(B261),1))</f>
        <v/>
      </c>
      <c r="D261" s="19" t="n"/>
      <c r="E261" s="19" t="n"/>
      <c r="F261" s="19" t="n"/>
      <c r="G261" s="19" t="n"/>
      <c r="H261" s="19" t="n"/>
      <c r="I261" s="19" t="n"/>
      <c r="J261" s="19" t="n"/>
      <c r="K261" s="20" t="n"/>
      <c r="L261" s="22">
        <f>IF(OR(B261="",K261=""),"",K261-B261)</f>
        <v/>
      </c>
      <c r="M261" s="19" t="n"/>
      <c r="N261" s="19" t="n"/>
      <c r="O261" s="20" t="n"/>
      <c r="P261" s="19" t="n"/>
    </row>
    <row r="262">
      <c r="A262" s="19" t="n"/>
      <c r="B262" s="20" t="n"/>
      <c r="C262" s="21">
        <f>IF(B262="","",DATE(YEAR(B262),MONTH(B262),1))</f>
        <v/>
      </c>
      <c r="D262" s="19" t="n"/>
      <c r="E262" s="19" t="n"/>
      <c r="F262" s="19" t="n"/>
      <c r="G262" s="19" t="n"/>
      <c r="H262" s="19" t="n"/>
      <c r="I262" s="19" t="n"/>
      <c r="J262" s="19" t="n"/>
      <c r="K262" s="20" t="n"/>
      <c r="L262" s="22">
        <f>IF(OR(B262="",K262=""),"",K262-B262)</f>
        <v/>
      </c>
      <c r="M262" s="19" t="n"/>
      <c r="N262" s="19" t="n"/>
      <c r="O262" s="20" t="n"/>
      <c r="P262" s="19" t="n"/>
    </row>
    <row r="263">
      <c r="A263" s="19" t="n"/>
      <c r="B263" s="20" t="n"/>
      <c r="C263" s="21">
        <f>IF(B263="","",DATE(YEAR(B263),MONTH(B263),1))</f>
        <v/>
      </c>
      <c r="D263" s="19" t="n"/>
      <c r="E263" s="19" t="n"/>
      <c r="F263" s="19" t="n"/>
      <c r="G263" s="19" t="n"/>
      <c r="H263" s="19" t="n"/>
      <c r="I263" s="19" t="n"/>
      <c r="J263" s="19" t="n"/>
      <c r="K263" s="20" t="n"/>
      <c r="L263" s="22">
        <f>IF(OR(B263="",K263=""),"",K263-B263)</f>
        <v/>
      </c>
      <c r="M263" s="19" t="n"/>
      <c r="N263" s="19" t="n"/>
      <c r="O263" s="20" t="n"/>
      <c r="P263" s="19" t="n"/>
    </row>
    <row r="264">
      <c r="A264" s="19" t="n"/>
      <c r="B264" s="20" t="n"/>
      <c r="C264" s="21">
        <f>IF(B264="","",DATE(YEAR(B264),MONTH(B264),1))</f>
        <v/>
      </c>
      <c r="D264" s="19" t="n"/>
      <c r="E264" s="19" t="n"/>
      <c r="F264" s="19" t="n"/>
      <c r="G264" s="19" t="n"/>
      <c r="H264" s="19" t="n"/>
      <c r="I264" s="19" t="n"/>
      <c r="J264" s="19" t="n"/>
      <c r="K264" s="20" t="n"/>
      <c r="L264" s="22">
        <f>IF(OR(B264="",K264=""),"",K264-B264)</f>
        <v/>
      </c>
      <c r="M264" s="19" t="n"/>
      <c r="N264" s="19" t="n"/>
      <c r="O264" s="20" t="n"/>
      <c r="P264" s="19" t="n"/>
    </row>
    <row r="265">
      <c r="A265" s="19" t="n"/>
      <c r="B265" s="20" t="n"/>
      <c r="C265" s="21">
        <f>IF(B265="","",DATE(YEAR(B265),MONTH(B265),1))</f>
        <v/>
      </c>
      <c r="D265" s="19" t="n"/>
      <c r="E265" s="19" t="n"/>
      <c r="F265" s="19" t="n"/>
      <c r="G265" s="19" t="n"/>
      <c r="H265" s="19" t="n"/>
      <c r="I265" s="19" t="n"/>
      <c r="J265" s="19" t="n"/>
      <c r="K265" s="20" t="n"/>
      <c r="L265" s="22">
        <f>IF(OR(B265="",K265=""),"",K265-B265)</f>
        <v/>
      </c>
      <c r="M265" s="19" t="n"/>
      <c r="N265" s="19" t="n"/>
      <c r="O265" s="20" t="n"/>
      <c r="P265" s="19" t="n"/>
    </row>
    <row r="266">
      <c r="A266" s="19" t="n"/>
      <c r="B266" s="20" t="n"/>
      <c r="C266" s="21">
        <f>IF(B266="","",DATE(YEAR(B266),MONTH(B266),1))</f>
        <v/>
      </c>
      <c r="D266" s="19" t="n"/>
      <c r="E266" s="19" t="n"/>
      <c r="F266" s="19" t="n"/>
      <c r="G266" s="19" t="n"/>
      <c r="H266" s="19" t="n"/>
      <c r="I266" s="19" t="n"/>
      <c r="J266" s="19" t="n"/>
      <c r="K266" s="20" t="n"/>
      <c r="L266" s="22">
        <f>IF(OR(B266="",K266=""),"",K266-B266)</f>
        <v/>
      </c>
      <c r="M266" s="19" t="n"/>
      <c r="N266" s="19" t="n"/>
      <c r="O266" s="20" t="n"/>
      <c r="P266" s="19" t="n"/>
    </row>
    <row r="267">
      <c r="A267" s="19" t="n"/>
      <c r="B267" s="20" t="n"/>
      <c r="C267" s="21">
        <f>IF(B267="","",DATE(YEAR(B267),MONTH(B267),1))</f>
        <v/>
      </c>
      <c r="D267" s="19" t="n"/>
      <c r="E267" s="19" t="n"/>
      <c r="F267" s="19" t="n"/>
      <c r="G267" s="19" t="n"/>
      <c r="H267" s="19" t="n"/>
      <c r="I267" s="19" t="n"/>
      <c r="J267" s="19" t="n"/>
      <c r="K267" s="20" t="n"/>
      <c r="L267" s="22">
        <f>IF(OR(B267="",K267=""),"",K267-B267)</f>
        <v/>
      </c>
      <c r="M267" s="19" t="n"/>
      <c r="N267" s="19" t="n"/>
      <c r="O267" s="20" t="n"/>
      <c r="P267" s="19" t="n"/>
    </row>
    <row r="268">
      <c r="A268" s="19" t="n"/>
      <c r="B268" s="20" t="n"/>
      <c r="C268" s="21">
        <f>IF(B268="","",DATE(YEAR(B268),MONTH(B268),1))</f>
        <v/>
      </c>
      <c r="D268" s="19" t="n"/>
      <c r="E268" s="19" t="n"/>
      <c r="F268" s="19" t="n"/>
      <c r="G268" s="19" t="n"/>
      <c r="H268" s="19" t="n"/>
      <c r="I268" s="19" t="n"/>
      <c r="J268" s="19" t="n"/>
      <c r="K268" s="20" t="n"/>
      <c r="L268" s="22">
        <f>IF(OR(B268="",K268=""),"",K268-B268)</f>
        <v/>
      </c>
      <c r="M268" s="19" t="n"/>
      <c r="N268" s="19" t="n"/>
      <c r="O268" s="20" t="n"/>
      <c r="P268" s="19" t="n"/>
    </row>
    <row r="269">
      <c r="A269" s="19" t="n"/>
      <c r="B269" s="20" t="n"/>
      <c r="C269" s="21">
        <f>IF(B269="","",DATE(YEAR(B269),MONTH(B269),1))</f>
        <v/>
      </c>
      <c r="D269" s="19" t="n"/>
      <c r="E269" s="19" t="n"/>
      <c r="F269" s="19" t="n"/>
      <c r="G269" s="19" t="n"/>
      <c r="H269" s="19" t="n"/>
      <c r="I269" s="19" t="n"/>
      <c r="J269" s="19" t="n"/>
      <c r="K269" s="20" t="n"/>
      <c r="L269" s="22">
        <f>IF(OR(B269="",K269=""),"",K269-B269)</f>
        <v/>
      </c>
      <c r="M269" s="19" t="n"/>
      <c r="N269" s="19" t="n"/>
      <c r="O269" s="20" t="n"/>
      <c r="P269" s="19" t="n"/>
    </row>
    <row r="270">
      <c r="A270" s="19" t="n"/>
      <c r="B270" s="20" t="n"/>
      <c r="C270" s="21">
        <f>IF(B270="","",DATE(YEAR(B270),MONTH(B270),1))</f>
        <v/>
      </c>
      <c r="D270" s="19" t="n"/>
      <c r="E270" s="19" t="n"/>
      <c r="F270" s="19" t="n"/>
      <c r="G270" s="19" t="n"/>
      <c r="H270" s="19" t="n"/>
      <c r="I270" s="19" t="n"/>
      <c r="J270" s="19" t="n"/>
      <c r="K270" s="20" t="n"/>
      <c r="L270" s="22">
        <f>IF(OR(B270="",K270=""),"",K270-B270)</f>
        <v/>
      </c>
      <c r="M270" s="19" t="n"/>
      <c r="N270" s="19" t="n"/>
      <c r="O270" s="20" t="n"/>
      <c r="P270" s="19" t="n"/>
    </row>
    <row r="271">
      <c r="A271" s="19" t="n"/>
      <c r="B271" s="20" t="n"/>
      <c r="C271" s="21">
        <f>IF(B271="","",DATE(YEAR(B271),MONTH(B271),1))</f>
        <v/>
      </c>
      <c r="D271" s="19" t="n"/>
      <c r="E271" s="19" t="n"/>
      <c r="F271" s="19" t="n"/>
      <c r="G271" s="19" t="n"/>
      <c r="H271" s="19" t="n"/>
      <c r="I271" s="19" t="n"/>
      <c r="J271" s="19" t="n"/>
      <c r="K271" s="20" t="n"/>
      <c r="L271" s="22">
        <f>IF(OR(B271="",K271=""),"",K271-B271)</f>
        <v/>
      </c>
      <c r="M271" s="19" t="n"/>
      <c r="N271" s="19" t="n"/>
      <c r="O271" s="20" t="n"/>
      <c r="P271" s="19" t="n"/>
    </row>
    <row r="272">
      <c r="A272" s="19" t="n"/>
      <c r="B272" s="20" t="n"/>
      <c r="C272" s="21">
        <f>IF(B272="","",DATE(YEAR(B272),MONTH(B272),1))</f>
        <v/>
      </c>
      <c r="D272" s="19" t="n"/>
      <c r="E272" s="19" t="n"/>
      <c r="F272" s="19" t="n"/>
      <c r="G272" s="19" t="n"/>
      <c r="H272" s="19" t="n"/>
      <c r="I272" s="19" t="n"/>
      <c r="J272" s="19" t="n"/>
      <c r="K272" s="20" t="n"/>
      <c r="L272" s="22">
        <f>IF(OR(B272="",K272=""),"",K272-B272)</f>
        <v/>
      </c>
      <c r="M272" s="19" t="n"/>
      <c r="N272" s="19" t="n"/>
      <c r="O272" s="20" t="n"/>
      <c r="P272" s="19" t="n"/>
    </row>
    <row r="273">
      <c r="A273" s="19" t="n"/>
      <c r="B273" s="20" t="n"/>
      <c r="C273" s="21">
        <f>IF(B273="","",DATE(YEAR(B273),MONTH(B273),1))</f>
        <v/>
      </c>
      <c r="D273" s="19" t="n"/>
      <c r="E273" s="19" t="n"/>
      <c r="F273" s="19" t="n"/>
      <c r="G273" s="19" t="n"/>
      <c r="H273" s="19" t="n"/>
      <c r="I273" s="19" t="n"/>
      <c r="J273" s="19" t="n"/>
      <c r="K273" s="20" t="n"/>
      <c r="L273" s="22">
        <f>IF(OR(B273="",K273=""),"",K273-B273)</f>
        <v/>
      </c>
      <c r="M273" s="19" t="n"/>
      <c r="N273" s="19" t="n"/>
      <c r="O273" s="20" t="n"/>
      <c r="P273" s="19" t="n"/>
    </row>
    <row r="274">
      <c r="A274" s="19" t="n"/>
      <c r="B274" s="20" t="n"/>
      <c r="C274" s="21">
        <f>IF(B274="","",DATE(YEAR(B274),MONTH(B274),1))</f>
        <v/>
      </c>
      <c r="D274" s="19" t="n"/>
      <c r="E274" s="19" t="n"/>
      <c r="F274" s="19" t="n"/>
      <c r="G274" s="19" t="n"/>
      <c r="H274" s="19" t="n"/>
      <c r="I274" s="19" t="n"/>
      <c r="J274" s="19" t="n"/>
      <c r="K274" s="20" t="n"/>
      <c r="L274" s="22">
        <f>IF(OR(B274="",K274=""),"",K274-B274)</f>
        <v/>
      </c>
      <c r="M274" s="19" t="n"/>
      <c r="N274" s="19" t="n"/>
      <c r="O274" s="20" t="n"/>
      <c r="P274" s="19" t="n"/>
    </row>
    <row r="275">
      <c r="A275" s="19" t="n"/>
      <c r="B275" s="20" t="n"/>
      <c r="C275" s="21">
        <f>IF(B275="","",DATE(YEAR(B275),MONTH(B275),1))</f>
        <v/>
      </c>
      <c r="D275" s="19" t="n"/>
      <c r="E275" s="19" t="n"/>
      <c r="F275" s="19" t="n"/>
      <c r="G275" s="19" t="n"/>
      <c r="H275" s="19" t="n"/>
      <c r="I275" s="19" t="n"/>
      <c r="J275" s="19" t="n"/>
      <c r="K275" s="20" t="n"/>
      <c r="L275" s="22">
        <f>IF(OR(B275="",K275=""),"",K275-B275)</f>
        <v/>
      </c>
      <c r="M275" s="19" t="n"/>
      <c r="N275" s="19" t="n"/>
      <c r="O275" s="20" t="n"/>
      <c r="P275" s="19" t="n"/>
    </row>
    <row r="276">
      <c r="A276" s="19" t="n"/>
      <c r="B276" s="20" t="n"/>
      <c r="C276" s="21">
        <f>IF(B276="","",DATE(YEAR(B276),MONTH(B276),1))</f>
        <v/>
      </c>
      <c r="D276" s="19" t="n"/>
      <c r="E276" s="19" t="n"/>
      <c r="F276" s="19" t="n"/>
      <c r="G276" s="19" t="n"/>
      <c r="H276" s="19" t="n"/>
      <c r="I276" s="19" t="n"/>
      <c r="J276" s="19" t="n"/>
      <c r="K276" s="20" t="n"/>
      <c r="L276" s="22">
        <f>IF(OR(B276="",K276=""),"",K276-B276)</f>
        <v/>
      </c>
      <c r="M276" s="19" t="n"/>
      <c r="N276" s="19" t="n"/>
      <c r="O276" s="20" t="n"/>
      <c r="P276" s="19" t="n"/>
    </row>
    <row r="277">
      <c r="A277" s="19" t="n"/>
      <c r="B277" s="20" t="n"/>
      <c r="C277" s="21">
        <f>IF(B277="","",DATE(YEAR(B277),MONTH(B277),1))</f>
        <v/>
      </c>
      <c r="D277" s="19" t="n"/>
      <c r="E277" s="19" t="n"/>
      <c r="F277" s="19" t="n"/>
      <c r="G277" s="19" t="n"/>
      <c r="H277" s="19" t="n"/>
      <c r="I277" s="19" t="n"/>
      <c r="J277" s="19" t="n"/>
      <c r="K277" s="20" t="n"/>
      <c r="L277" s="22">
        <f>IF(OR(B277="",K277=""),"",K277-B277)</f>
        <v/>
      </c>
      <c r="M277" s="19" t="n"/>
      <c r="N277" s="19" t="n"/>
      <c r="O277" s="20" t="n"/>
      <c r="P277" s="19" t="n"/>
    </row>
    <row r="278">
      <c r="A278" s="19" t="n"/>
      <c r="B278" s="20" t="n"/>
      <c r="C278" s="21">
        <f>IF(B278="","",DATE(YEAR(B278),MONTH(B278),1))</f>
        <v/>
      </c>
      <c r="D278" s="19" t="n"/>
      <c r="E278" s="19" t="n"/>
      <c r="F278" s="19" t="n"/>
      <c r="G278" s="19" t="n"/>
      <c r="H278" s="19" t="n"/>
      <c r="I278" s="19" t="n"/>
      <c r="J278" s="19" t="n"/>
      <c r="K278" s="20" t="n"/>
      <c r="L278" s="22">
        <f>IF(OR(B278="",K278=""),"",K278-B278)</f>
        <v/>
      </c>
      <c r="M278" s="19" t="n"/>
      <c r="N278" s="19" t="n"/>
      <c r="O278" s="20" t="n"/>
      <c r="P278" s="19" t="n"/>
    </row>
    <row r="279">
      <c r="A279" s="19" t="n"/>
      <c r="B279" s="20" t="n"/>
      <c r="C279" s="21">
        <f>IF(B279="","",DATE(YEAR(B279),MONTH(B279),1))</f>
        <v/>
      </c>
      <c r="D279" s="19" t="n"/>
      <c r="E279" s="19" t="n"/>
      <c r="F279" s="19" t="n"/>
      <c r="G279" s="19" t="n"/>
      <c r="H279" s="19" t="n"/>
      <c r="I279" s="19" t="n"/>
      <c r="J279" s="19" t="n"/>
      <c r="K279" s="20" t="n"/>
      <c r="L279" s="22">
        <f>IF(OR(B279="",K279=""),"",K279-B279)</f>
        <v/>
      </c>
      <c r="M279" s="19" t="n"/>
      <c r="N279" s="19" t="n"/>
      <c r="O279" s="20" t="n"/>
      <c r="P279" s="19" t="n"/>
    </row>
    <row r="280">
      <c r="A280" s="19" t="n"/>
      <c r="B280" s="20" t="n"/>
      <c r="C280" s="21">
        <f>IF(B280="","",DATE(YEAR(B280),MONTH(B280),1))</f>
        <v/>
      </c>
      <c r="D280" s="19" t="n"/>
      <c r="E280" s="19" t="n"/>
      <c r="F280" s="19" t="n"/>
      <c r="G280" s="19" t="n"/>
      <c r="H280" s="19" t="n"/>
      <c r="I280" s="19" t="n"/>
      <c r="J280" s="19" t="n"/>
      <c r="K280" s="20" t="n"/>
      <c r="L280" s="22">
        <f>IF(OR(B280="",K280=""),"",K280-B280)</f>
        <v/>
      </c>
      <c r="M280" s="19" t="n"/>
      <c r="N280" s="19" t="n"/>
      <c r="O280" s="20" t="n"/>
      <c r="P280" s="19" t="n"/>
    </row>
    <row r="281">
      <c r="A281" s="19" t="n"/>
      <c r="B281" s="20" t="n"/>
      <c r="C281" s="21">
        <f>IF(B281="","",DATE(YEAR(B281),MONTH(B281),1))</f>
        <v/>
      </c>
      <c r="D281" s="19" t="n"/>
      <c r="E281" s="19" t="n"/>
      <c r="F281" s="19" t="n"/>
      <c r="G281" s="19" t="n"/>
      <c r="H281" s="19" t="n"/>
      <c r="I281" s="19" t="n"/>
      <c r="J281" s="19" t="n"/>
      <c r="K281" s="20" t="n"/>
      <c r="L281" s="22">
        <f>IF(OR(B281="",K281=""),"",K281-B281)</f>
        <v/>
      </c>
      <c r="M281" s="19" t="n"/>
      <c r="N281" s="19" t="n"/>
      <c r="O281" s="20" t="n"/>
      <c r="P281" s="19" t="n"/>
    </row>
    <row r="282">
      <c r="A282" s="19" t="n"/>
      <c r="B282" s="20" t="n"/>
      <c r="C282" s="21">
        <f>IF(B282="","",DATE(YEAR(B282),MONTH(B282),1))</f>
        <v/>
      </c>
      <c r="D282" s="19" t="n"/>
      <c r="E282" s="19" t="n"/>
      <c r="F282" s="19" t="n"/>
      <c r="G282" s="19" t="n"/>
      <c r="H282" s="19" t="n"/>
      <c r="I282" s="19" t="n"/>
      <c r="J282" s="19" t="n"/>
      <c r="K282" s="20" t="n"/>
      <c r="L282" s="22">
        <f>IF(OR(B282="",K282=""),"",K282-B282)</f>
        <v/>
      </c>
      <c r="M282" s="19" t="n"/>
      <c r="N282" s="19" t="n"/>
      <c r="O282" s="20" t="n"/>
      <c r="P282" s="19" t="n"/>
    </row>
    <row r="283">
      <c r="A283" s="19" t="n"/>
      <c r="B283" s="20" t="n"/>
      <c r="C283" s="21">
        <f>IF(B283="","",DATE(YEAR(B283),MONTH(B283),1))</f>
        <v/>
      </c>
      <c r="D283" s="19" t="n"/>
      <c r="E283" s="19" t="n"/>
      <c r="F283" s="19" t="n"/>
      <c r="G283" s="19" t="n"/>
      <c r="H283" s="19" t="n"/>
      <c r="I283" s="19" t="n"/>
      <c r="J283" s="19" t="n"/>
      <c r="K283" s="20" t="n"/>
      <c r="L283" s="22">
        <f>IF(OR(B283="",K283=""),"",K283-B283)</f>
        <v/>
      </c>
      <c r="M283" s="19" t="n"/>
      <c r="N283" s="19" t="n"/>
      <c r="O283" s="20" t="n"/>
      <c r="P283" s="19" t="n"/>
    </row>
    <row r="284">
      <c r="A284" s="19" t="n"/>
      <c r="B284" s="20" t="n"/>
      <c r="C284" s="21">
        <f>IF(B284="","",DATE(YEAR(B284),MONTH(B284),1))</f>
        <v/>
      </c>
      <c r="D284" s="19" t="n"/>
      <c r="E284" s="19" t="n"/>
      <c r="F284" s="19" t="n"/>
      <c r="G284" s="19" t="n"/>
      <c r="H284" s="19" t="n"/>
      <c r="I284" s="19" t="n"/>
      <c r="J284" s="19" t="n"/>
      <c r="K284" s="20" t="n"/>
      <c r="L284" s="22">
        <f>IF(OR(B284="",K284=""),"",K284-B284)</f>
        <v/>
      </c>
      <c r="M284" s="19" t="n"/>
      <c r="N284" s="19" t="n"/>
      <c r="O284" s="20" t="n"/>
      <c r="P284" s="19" t="n"/>
    </row>
    <row r="285">
      <c r="A285" s="19" t="n"/>
      <c r="B285" s="20" t="n"/>
      <c r="C285" s="21">
        <f>IF(B285="","",DATE(YEAR(B285),MONTH(B285),1))</f>
        <v/>
      </c>
      <c r="D285" s="19" t="n"/>
      <c r="E285" s="19" t="n"/>
      <c r="F285" s="19" t="n"/>
      <c r="G285" s="19" t="n"/>
      <c r="H285" s="19" t="n"/>
      <c r="I285" s="19" t="n"/>
      <c r="J285" s="19" t="n"/>
      <c r="K285" s="20" t="n"/>
      <c r="L285" s="22">
        <f>IF(OR(B285="",K285=""),"",K285-B285)</f>
        <v/>
      </c>
      <c r="M285" s="19" t="n"/>
      <c r="N285" s="19" t="n"/>
      <c r="O285" s="20" t="n"/>
      <c r="P285" s="19" t="n"/>
    </row>
    <row r="286">
      <c r="A286" s="19" t="n"/>
      <c r="B286" s="20" t="n"/>
      <c r="C286" s="21">
        <f>IF(B286="","",DATE(YEAR(B286),MONTH(B286),1))</f>
        <v/>
      </c>
      <c r="D286" s="19" t="n"/>
      <c r="E286" s="19" t="n"/>
      <c r="F286" s="19" t="n"/>
      <c r="G286" s="19" t="n"/>
      <c r="H286" s="19" t="n"/>
      <c r="I286" s="19" t="n"/>
      <c r="J286" s="19" t="n"/>
      <c r="K286" s="20" t="n"/>
      <c r="L286" s="22">
        <f>IF(OR(B286="",K286=""),"",K286-B286)</f>
        <v/>
      </c>
      <c r="M286" s="19" t="n"/>
      <c r="N286" s="19" t="n"/>
      <c r="O286" s="20" t="n"/>
      <c r="P286" s="19" t="n"/>
    </row>
    <row r="287">
      <c r="A287" s="19" t="n"/>
      <c r="B287" s="20" t="n"/>
      <c r="C287" s="21">
        <f>IF(B287="","",DATE(YEAR(B287),MONTH(B287),1))</f>
        <v/>
      </c>
      <c r="D287" s="19" t="n"/>
      <c r="E287" s="19" t="n"/>
      <c r="F287" s="19" t="n"/>
      <c r="G287" s="19" t="n"/>
      <c r="H287" s="19" t="n"/>
      <c r="I287" s="19" t="n"/>
      <c r="J287" s="19" t="n"/>
      <c r="K287" s="20" t="n"/>
      <c r="L287" s="22">
        <f>IF(OR(B287="",K287=""),"",K287-B287)</f>
        <v/>
      </c>
      <c r="M287" s="19" t="n"/>
      <c r="N287" s="19" t="n"/>
      <c r="O287" s="20" t="n"/>
      <c r="P287" s="19" t="n"/>
    </row>
    <row r="288">
      <c r="A288" s="19" t="n"/>
      <c r="B288" s="20" t="n"/>
      <c r="C288" s="21">
        <f>IF(B288="","",DATE(YEAR(B288),MONTH(B288),1))</f>
        <v/>
      </c>
      <c r="D288" s="19" t="n"/>
      <c r="E288" s="19" t="n"/>
      <c r="F288" s="19" t="n"/>
      <c r="G288" s="19" t="n"/>
      <c r="H288" s="19" t="n"/>
      <c r="I288" s="19" t="n"/>
      <c r="J288" s="19" t="n"/>
      <c r="K288" s="20" t="n"/>
      <c r="L288" s="22">
        <f>IF(OR(B288="",K288=""),"",K288-B288)</f>
        <v/>
      </c>
      <c r="M288" s="19" t="n"/>
      <c r="N288" s="19" t="n"/>
      <c r="O288" s="20" t="n"/>
      <c r="P288" s="19" t="n"/>
    </row>
    <row r="289">
      <c r="A289" s="19" t="n"/>
      <c r="B289" s="20" t="n"/>
      <c r="C289" s="21">
        <f>IF(B289="","",DATE(YEAR(B289),MONTH(B289),1))</f>
        <v/>
      </c>
      <c r="D289" s="19" t="n"/>
      <c r="E289" s="19" t="n"/>
      <c r="F289" s="19" t="n"/>
      <c r="G289" s="19" t="n"/>
      <c r="H289" s="19" t="n"/>
      <c r="I289" s="19" t="n"/>
      <c r="J289" s="19" t="n"/>
      <c r="K289" s="20" t="n"/>
      <c r="L289" s="22">
        <f>IF(OR(B289="",K289=""),"",K289-B289)</f>
        <v/>
      </c>
      <c r="M289" s="19" t="n"/>
      <c r="N289" s="19" t="n"/>
      <c r="O289" s="20" t="n"/>
      <c r="P289" s="19" t="n"/>
    </row>
    <row r="290">
      <c r="A290" s="19" t="n"/>
      <c r="B290" s="20" t="n"/>
      <c r="C290" s="21">
        <f>IF(B290="","",DATE(YEAR(B290),MONTH(B290),1))</f>
        <v/>
      </c>
      <c r="D290" s="19" t="n"/>
      <c r="E290" s="19" t="n"/>
      <c r="F290" s="19" t="n"/>
      <c r="G290" s="19" t="n"/>
      <c r="H290" s="19" t="n"/>
      <c r="I290" s="19" t="n"/>
      <c r="J290" s="19" t="n"/>
      <c r="K290" s="20" t="n"/>
      <c r="L290" s="22">
        <f>IF(OR(B290="",K290=""),"",K290-B290)</f>
        <v/>
      </c>
      <c r="M290" s="19" t="n"/>
      <c r="N290" s="19" t="n"/>
      <c r="O290" s="20" t="n"/>
      <c r="P290" s="19" t="n"/>
    </row>
    <row r="291">
      <c r="A291" s="19" t="n"/>
      <c r="B291" s="20" t="n"/>
      <c r="C291" s="21">
        <f>IF(B291="","",DATE(YEAR(B291),MONTH(B291),1))</f>
        <v/>
      </c>
      <c r="D291" s="19" t="n"/>
      <c r="E291" s="19" t="n"/>
      <c r="F291" s="19" t="n"/>
      <c r="G291" s="19" t="n"/>
      <c r="H291" s="19" t="n"/>
      <c r="I291" s="19" t="n"/>
      <c r="J291" s="19" t="n"/>
      <c r="K291" s="20" t="n"/>
      <c r="L291" s="22">
        <f>IF(OR(B291="",K291=""),"",K291-B291)</f>
        <v/>
      </c>
      <c r="M291" s="19" t="n"/>
      <c r="N291" s="19" t="n"/>
      <c r="O291" s="20" t="n"/>
      <c r="P291" s="19" t="n"/>
    </row>
    <row r="292">
      <c r="A292" s="19" t="n"/>
      <c r="B292" s="20" t="n"/>
      <c r="C292" s="21">
        <f>IF(B292="","",DATE(YEAR(B292),MONTH(B292),1))</f>
        <v/>
      </c>
      <c r="D292" s="19" t="n"/>
      <c r="E292" s="19" t="n"/>
      <c r="F292" s="19" t="n"/>
      <c r="G292" s="19" t="n"/>
      <c r="H292" s="19" t="n"/>
      <c r="I292" s="19" t="n"/>
      <c r="J292" s="19" t="n"/>
      <c r="K292" s="20" t="n"/>
      <c r="L292" s="22">
        <f>IF(OR(B292="",K292=""),"",K292-B292)</f>
        <v/>
      </c>
      <c r="M292" s="19" t="n"/>
      <c r="N292" s="19" t="n"/>
      <c r="O292" s="20" t="n"/>
      <c r="P292" s="19" t="n"/>
    </row>
    <row r="293">
      <c r="A293" s="19" t="n"/>
      <c r="B293" s="20" t="n"/>
      <c r="C293" s="21">
        <f>IF(B293="","",DATE(YEAR(B293),MONTH(B293),1))</f>
        <v/>
      </c>
      <c r="D293" s="19" t="n"/>
      <c r="E293" s="19" t="n"/>
      <c r="F293" s="19" t="n"/>
      <c r="G293" s="19" t="n"/>
      <c r="H293" s="19" t="n"/>
      <c r="I293" s="19" t="n"/>
      <c r="J293" s="19" t="n"/>
      <c r="K293" s="20" t="n"/>
      <c r="L293" s="22">
        <f>IF(OR(B293="",K293=""),"",K293-B293)</f>
        <v/>
      </c>
      <c r="M293" s="19" t="n"/>
      <c r="N293" s="19" t="n"/>
      <c r="O293" s="20" t="n"/>
      <c r="P293" s="19" t="n"/>
    </row>
    <row r="294">
      <c r="A294" s="19" t="n"/>
      <c r="B294" s="20" t="n"/>
      <c r="C294" s="21">
        <f>IF(B294="","",DATE(YEAR(B294),MONTH(B294),1))</f>
        <v/>
      </c>
      <c r="D294" s="19" t="n"/>
      <c r="E294" s="19" t="n"/>
      <c r="F294" s="19" t="n"/>
      <c r="G294" s="19" t="n"/>
      <c r="H294" s="19" t="n"/>
      <c r="I294" s="19" t="n"/>
      <c r="J294" s="19" t="n"/>
      <c r="K294" s="20" t="n"/>
      <c r="L294" s="22">
        <f>IF(OR(B294="",K294=""),"",K294-B294)</f>
        <v/>
      </c>
      <c r="M294" s="19" t="n"/>
      <c r="N294" s="19" t="n"/>
      <c r="O294" s="20" t="n"/>
      <c r="P294" s="19" t="n"/>
    </row>
    <row r="295">
      <c r="A295" s="19" t="n"/>
      <c r="B295" s="20" t="n"/>
      <c r="C295" s="21">
        <f>IF(B295="","",DATE(YEAR(B295),MONTH(B295),1))</f>
        <v/>
      </c>
      <c r="D295" s="19" t="n"/>
      <c r="E295" s="19" t="n"/>
      <c r="F295" s="19" t="n"/>
      <c r="G295" s="19" t="n"/>
      <c r="H295" s="19" t="n"/>
      <c r="I295" s="19" t="n"/>
      <c r="J295" s="19" t="n"/>
      <c r="K295" s="20" t="n"/>
      <c r="L295" s="22">
        <f>IF(OR(B295="",K295=""),"",K295-B295)</f>
        <v/>
      </c>
      <c r="M295" s="19" t="n"/>
      <c r="N295" s="19" t="n"/>
      <c r="O295" s="20" t="n"/>
      <c r="P295" s="19" t="n"/>
    </row>
    <row r="296">
      <c r="A296" s="19" t="n"/>
      <c r="B296" s="20" t="n"/>
      <c r="C296" s="21">
        <f>IF(B296="","",DATE(YEAR(B296),MONTH(B296),1))</f>
        <v/>
      </c>
      <c r="D296" s="19" t="n"/>
      <c r="E296" s="19" t="n"/>
      <c r="F296" s="19" t="n"/>
      <c r="G296" s="19" t="n"/>
      <c r="H296" s="19" t="n"/>
      <c r="I296" s="19" t="n"/>
      <c r="J296" s="19" t="n"/>
      <c r="K296" s="20" t="n"/>
      <c r="L296" s="22">
        <f>IF(OR(B296="",K296=""),"",K296-B296)</f>
        <v/>
      </c>
      <c r="M296" s="19" t="n"/>
      <c r="N296" s="19" t="n"/>
      <c r="O296" s="20" t="n"/>
      <c r="P296" s="19" t="n"/>
    </row>
    <row r="297">
      <c r="A297" s="19" t="n"/>
      <c r="B297" s="20" t="n"/>
      <c r="C297" s="21">
        <f>IF(B297="","",DATE(YEAR(B297),MONTH(B297),1))</f>
        <v/>
      </c>
      <c r="D297" s="19" t="n"/>
      <c r="E297" s="19" t="n"/>
      <c r="F297" s="19" t="n"/>
      <c r="G297" s="19" t="n"/>
      <c r="H297" s="19" t="n"/>
      <c r="I297" s="19" t="n"/>
      <c r="J297" s="19" t="n"/>
      <c r="K297" s="20" t="n"/>
      <c r="L297" s="22">
        <f>IF(OR(B297="",K297=""),"",K297-B297)</f>
        <v/>
      </c>
      <c r="M297" s="19" t="n"/>
      <c r="N297" s="19" t="n"/>
      <c r="O297" s="20" t="n"/>
      <c r="P297" s="19" t="n"/>
    </row>
    <row r="298">
      <c r="A298" s="19" t="n"/>
      <c r="B298" s="20" t="n"/>
      <c r="C298" s="21">
        <f>IF(B298="","",DATE(YEAR(B298),MONTH(B298),1))</f>
        <v/>
      </c>
      <c r="D298" s="19" t="n"/>
      <c r="E298" s="19" t="n"/>
      <c r="F298" s="19" t="n"/>
      <c r="G298" s="19" t="n"/>
      <c r="H298" s="19" t="n"/>
      <c r="I298" s="19" t="n"/>
      <c r="J298" s="19" t="n"/>
      <c r="K298" s="20" t="n"/>
      <c r="L298" s="22">
        <f>IF(OR(B298="",K298=""),"",K298-B298)</f>
        <v/>
      </c>
      <c r="M298" s="19" t="n"/>
      <c r="N298" s="19" t="n"/>
      <c r="O298" s="20" t="n"/>
      <c r="P298" s="19" t="n"/>
    </row>
    <row r="299">
      <c r="A299" s="19" t="n"/>
      <c r="B299" s="20" t="n"/>
      <c r="C299" s="21">
        <f>IF(B299="","",DATE(YEAR(B299),MONTH(B299),1))</f>
        <v/>
      </c>
      <c r="D299" s="19" t="n"/>
      <c r="E299" s="19" t="n"/>
      <c r="F299" s="19" t="n"/>
      <c r="G299" s="19" t="n"/>
      <c r="H299" s="19" t="n"/>
      <c r="I299" s="19" t="n"/>
      <c r="J299" s="19" t="n"/>
      <c r="K299" s="20" t="n"/>
      <c r="L299" s="22">
        <f>IF(OR(B299="",K299=""),"",K299-B299)</f>
        <v/>
      </c>
      <c r="M299" s="19" t="n"/>
      <c r="N299" s="19" t="n"/>
      <c r="O299" s="20" t="n"/>
      <c r="P299" s="19" t="n"/>
    </row>
    <row r="300">
      <c r="A300" s="19" t="n"/>
      <c r="B300" s="20" t="n"/>
      <c r="C300" s="21">
        <f>IF(B300="","",DATE(YEAR(B300),MONTH(B300),1))</f>
        <v/>
      </c>
      <c r="D300" s="19" t="n"/>
      <c r="E300" s="19" t="n"/>
      <c r="F300" s="19" t="n"/>
      <c r="G300" s="19" t="n"/>
      <c r="H300" s="19" t="n"/>
      <c r="I300" s="19" t="n"/>
      <c r="J300" s="19" t="n"/>
      <c r="K300" s="20" t="n"/>
      <c r="L300" s="22">
        <f>IF(OR(B300="",K300=""),"",K300-B300)</f>
        <v/>
      </c>
      <c r="M300" s="19" t="n"/>
      <c r="N300" s="19" t="n"/>
      <c r="O300" s="20" t="n"/>
      <c r="P300" s="19" t="n"/>
    </row>
    <row r="301">
      <c r="A301" s="19" t="n"/>
      <c r="B301" s="20" t="n"/>
      <c r="C301" s="21">
        <f>IF(B301="","",DATE(YEAR(B301),MONTH(B301),1))</f>
        <v/>
      </c>
      <c r="D301" s="19" t="n"/>
      <c r="E301" s="19" t="n"/>
      <c r="F301" s="19" t="n"/>
      <c r="G301" s="19" t="n"/>
      <c r="H301" s="19" t="n"/>
      <c r="I301" s="19" t="n"/>
      <c r="J301" s="19" t="n"/>
      <c r="K301" s="20" t="n"/>
      <c r="L301" s="22">
        <f>IF(OR(B301="",K301=""),"",K301-B301)</f>
        <v/>
      </c>
      <c r="M301" s="19" t="n"/>
      <c r="N301" s="19" t="n"/>
      <c r="O301" s="20" t="n"/>
      <c r="P301" s="19" t="n"/>
    </row>
    <row r="302">
      <c r="A302" s="19" t="n"/>
      <c r="B302" s="20" t="n"/>
      <c r="C302" s="21">
        <f>IF(B302="","",DATE(YEAR(B302),MONTH(B302),1))</f>
        <v/>
      </c>
      <c r="D302" s="19" t="n"/>
      <c r="E302" s="19" t="n"/>
      <c r="F302" s="19" t="n"/>
      <c r="G302" s="19" t="n"/>
      <c r="H302" s="19" t="n"/>
      <c r="I302" s="19" t="n"/>
      <c r="J302" s="19" t="n"/>
      <c r="K302" s="20" t="n"/>
      <c r="L302" s="22">
        <f>IF(OR(B302="",K302=""),"",K302-B302)</f>
        <v/>
      </c>
      <c r="M302" s="19" t="n"/>
      <c r="N302" s="19" t="n"/>
      <c r="O302" s="20" t="n"/>
      <c r="P302" s="19" t="n"/>
    </row>
    <row r="303">
      <c r="A303" s="19" t="n"/>
      <c r="B303" s="20" t="n"/>
      <c r="C303" s="21">
        <f>IF(B303="","",DATE(YEAR(B303),MONTH(B303),1))</f>
        <v/>
      </c>
      <c r="D303" s="19" t="n"/>
      <c r="E303" s="19" t="n"/>
      <c r="F303" s="19" t="n"/>
      <c r="G303" s="19" t="n"/>
      <c r="H303" s="19" t="n"/>
      <c r="I303" s="19" t="n"/>
      <c r="J303" s="19" t="n"/>
      <c r="K303" s="20" t="n"/>
      <c r="L303" s="22">
        <f>IF(OR(B303="",K303=""),"",K303-B303)</f>
        <v/>
      </c>
      <c r="M303" s="19" t="n"/>
      <c r="N303" s="19" t="n"/>
      <c r="O303" s="20" t="n"/>
      <c r="P303" s="19" t="n"/>
    </row>
    <row r="304">
      <c r="A304" s="19" t="n"/>
      <c r="B304" s="20" t="n"/>
      <c r="C304" s="21">
        <f>IF(B304="","",DATE(YEAR(B304),MONTH(B304),1))</f>
        <v/>
      </c>
      <c r="D304" s="19" t="n"/>
      <c r="E304" s="19" t="n"/>
      <c r="F304" s="19" t="n"/>
      <c r="G304" s="19" t="n"/>
      <c r="H304" s="19" t="n"/>
      <c r="I304" s="19" t="n"/>
      <c r="J304" s="19" t="n"/>
      <c r="K304" s="20" t="n"/>
      <c r="L304" s="22">
        <f>IF(OR(B304="",K304=""),"",K304-B304)</f>
        <v/>
      </c>
      <c r="M304" s="19" t="n"/>
      <c r="N304" s="19" t="n"/>
      <c r="O304" s="20" t="n"/>
      <c r="P304" s="19" t="n"/>
    </row>
    <row r="305">
      <c r="A305" s="19" t="n"/>
      <c r="B305" s="20" t="n"/>
      <c r="C305" s="21">
        <f>IF(B305="","",DATE(YEAR(B305),MONTH(B305),1))</f>
        <v/>
      </c>
      <c r="D305" s="19" t="n"/>
      <c r="E305" s="19" t="n"/>
      <c r="F305" s="19" t="n"/>
      <c r="G305" s="19" t="n"/>
      <c r="H305" s="19" t="n"/>
      <c r="I305" s="19" t="n"/>
      <c r="J305" s="19" t="n"/>
      <c r="K305" s="20" t="n"/>
      <c r="L305" s="22">
        <f>IF(OR(B305="",K305=""),"",K305-B305)</f>
        <v/>
      </c>
      <c r="M305" s="19" t="n"/>
      <c r="N305" s="19" t="n"/>
      <c r="O305" s="20" t="n"/>
      <c r="P305" s="19" t="n"/>
    </row>
    <row r="306">
      <c r="A306" s="19" t="n"/>
      <c r="B306" s="20" t="n"/>
      <c r="C306" s="21">
        <f>IF(B306="","",DATE(YEAR(B306),MONTH(B306),1))</f>
        <v/>
      </c>
      <c r="D306" s="19" t="n"/>
      <c r="E306" s="19" t="n"/>
      <c r="F306" s="19" t="n"/>
      <c r="G306" s="19" t="n"/>
      <c r="H306" s="19" t="n"/>
      <c r="I306" s="19" t="n"/>
      <c r="J306" s="19" t="n"/>
      <c r="K306" s="20" t="n"/>
      <c r="L306" s="22">
        <f>IF(OR(B306="",K306=""),"",K306-B306)</f>
        <v/>
      </c>
      <c r="M306" s="19" t="n"/>
      <c r="N306" s="19" t="n"/>
      <c r="O306" s="20" t="n"/>
      <c r="P306" s="19" t="n"/>
    </row>
    <row r="307">
      <c r="A307" s="19" t="n"/>
      <c r="B307" s="20" t="n"/>
      <c r="C307" s="21">
        <f>IF(B307="","",DATE(YEAR(B307),MONTH(B307),1))</f>
        <v/>
      </c>
      <c r="D307" s="19" t="n"/>
      <c r="E307" s="19" t="n"/>
      <c r="F307" s="19" t="n"/>
      <c r="G307" s="19" t="n"/>
      <c r="H307" s="19" t="n"/>
      <c r="I307" s="19" t="n"/>
      <c r="J307" s="19" t="n"/>
      <c r="K307" s="20" t="n"/>
      <c r="L307" s="22">
        <f>IF(OR(B307="",K307=""),"",K307-B307)</f>
        <v/>
      </c>
      <c r="M307" s="19" t="n"/>
      <c r="N307" s="19" t="n"/>
      <c r="O307" s="20" t="n"/>
      <c r="P307" s="19" t="n"/>
    </row>
    <row r="308">
      <c r="A308" s="19" t="n"/>
      <c r="B308" s="20" t="n"/>
      <c r="C308" s="21">
        <f>IF(B308="","",DATE(YEAR(B308),MONTH(B308),1))</f>
        <v/>
      </c>
      <c r="D308" s="19" t="n"/>
      <c r="E308" s="19" t="n"/>
      <c r="F308" s="19" t="n"/>
      <c r="G308" s="19" t="n"/>
      <c r="H308" s="19" t="n"/>
      <c r="I308" s="19" t="n"/>
      <c r="J308" s="19" t="n"/>
      <c r="K308" s="20" t="n"/>
      <c r="L308" s="22">
        <f>IF(OR(B308="",K308=""),"",K308-B308)</f>
        <v/>
      </c>
      <c r="M308" s="19" t="n"/>
      <c r="N308" s="19" t="n"/>
      <c r="O308" s="20" t="n"/>
      <c r="P308" s="19" t="n"/>
    </row>
    <row r="309">
      <c r="A309" s="19" t="n"/>
      <c r="B309" s="20" t="n"/>
      <c r="C309" s="21">
        <f>IF(B309="","",DATE(YEAR(B309),MONTH(B309),1))</f>
        <v/>
      </c>
      <c r="D309" s="19" t="n"/>
      <c r="E309" s="19" t="n"/>
      <c r="F309" s="19" t="n"/>
      <c r="G309" s="19" t="n"/>
      <c r="H309" s="19" t="n"/>
      <c r="I309" s="19" t="n"/>
      <c r="J309" s="19" t="n"/>
      <c r="K309" s="20" t="n"/>
      <c r="L309" s="22">
        <f>IF(OR(B309="",K309=""),"",K309-B309)</f>
        <v/>
      </c>
      <c r="M309" s="19" t="n"/>
      <c r="N309" s="19" t="n"/>
      <c r="O309" s="20" t="n"/>
      <c r="P309" s="19" t="n"/>
    </row>
    <row r="310">
      <c r="A310" s="19" t="n"/>
      <c r="B310" s="20" t="n"/>
      <c r="C310" s="21">
        <f>IF(B310="","",DATE(YEAR(B310),MONTH(B310),1))</f>
        <v/>
      </c>
      <c r="D310" s="19" t="n"/>
      <c r="E310" s="19" t="n"/>
      <c r="F310" s="19" t="n"/>
      <c r="G310" s="19" t="n"/>
      <c r="H310" s="19" t="n"/>
      <c r="I310" s="19" t="n"/>
      <c r="J310" s="19" t="n"/>
      <c r="K310" s="20" t="n"/>
      <c r="L310" s="22">
        <f>IF(OR(B310="",K310=""),"",K310-B310)</f>
        <v/>
      </c>
      <c r="M310" s="19" t="n"/>
      <c r="N310" s="19" t="n"/>
      <c r="O310" s="20" t="n"/>
      <c r="P310" s="19" t="n"/>
    </row>
    <row r="311">
      <c r="A311" s="19" t="n"/>
      <c r="B311" s="20" t="n"/>
      <c r="C311" s="21">
        <f>IF(B311="","",DATE(YEAR(B311),MONTH(B311),1))</f>
        <v/>
      </c>
      <c r="D311" s="19" t="n"/>
      <c r="E311" s="19" t="n"/>
      <c r="F311" s="19" t="n"/>
      <c r="G311" s="19" t="n"/>
      <c r="H311" s="19" t="n"/>
      <c r="I311" s="19" t="n"/>
      <c r="J311" s="19" t="n"/>
      <c r="K311" s="20" t="n"/>
      <c r="L311" s="22">
        <f>IF(OR(B311="",K311=""),"",K311-B311)</f>
        <v/>
      </c>
      <c r="M311" s="19" t="n"/>
      <c r="N311" s="19" t="n"/>
      <c r="O311" s="20" t="n"/>
      <c r="P311" s="19" t="n"/>
    </row>
    <row r="312">
      <c r="A312" s="19" t="n"/>
      <c r="B312" s="20" t="n"/>
      <c r="C312" s="21">
        <f>IF(B312="","",DATE(YEAR(B312),MONTH(B312),1))</f>
        <v/>
      </c>
      <c r="D312" s="19" t="n"/>
      <c r="E312" s="19" t="n"/>
      <c r="F312" s="19" t="n"/>
      <c r="G312" s="19" t="n"/>
      <c r="H312" s="19" t="n"/>
      <c r="I312" s="19" t="n"/>
      <c r="J312" s="19" t="n"/>
      <c r="K312" s="20" t="n"/>
      <c r="L312" s="22">
        <f>IF(OR(B312="",K312=""),"",K312-B312)</f>
        <v/>
      </c>
      <c r="M312" s="19" t="n"/>
      <c r="N312" s="19" t="n"/>
      <c r="O312" s="20" t="n"/>
      <c r="P312" s="19" t="n"/>
    </row>
    <row r="313">
      <c r="A313" s="19" t="n"/>
      <c r="B313" s="20" t="n"/>
      <c r="C313" s="21">
        <f>IF(B313="","",DATE(YEAR(B313),MONTH(B313),1))</f>
        <v/>
      </c>
      <c r="D313" s="19" t="n"/>
      <c r="E313" s="19" t="n"/>
      <c r="F313" s="19" t="n"/>
      <c r="G313" s="19" t="n"/>
      <c r="H313" s="19" t="n"/>
      <c r="I313" s="19" t="n"/>
      <c r="J313" s="19" t="n"/>
      <c r="K313" s="20" t="n"/>
      <c r="L313" s="22">
        <f>IF(OR(B313="",K313=""),"",K313-B313)</f>
        <v/>
      </c>
      <c r="M313" s="19" t="n"/>
      <c r="N313" s="19" t="n"/>
      <c r="O313" s="20" t="n"/>
      <c r="P313" s="19" t="n"/>
    </row>
    <row r="314">
      <c r="A314" s="19" t="n"/>
      <c r="B314" s="20" t="n"/>
      <c r="C314" s="21">
        <f>IF(B314="","",DATE(YEAR(B314),MONTH(B314),1))</f>
        <v/>
      </c>
      <c r="D314" s="19" t="n"/>
      <c r="E314" s="19" t="n"/>
      <c r="F314" s="19" t="n"/>
      <c r="G314" s="19" t="n"/>
      <c r="H314" s="19" t="n"/>
      <c r="I314" s="19" t="n"/>
      <c r="J314" s="19" t="n"/>
      <c r="K314" s="20" t="n"/>
      <c r="L314" s="22">
        <f>IF(OR(B314="",K314=""),"",K314-B314)</f>
        <v/>
      </c>
      <c r="M314" s="19" t="n"/>
      <c r="N314" s="19" t="n"/>
      <c r="O314" s="20" t="n"/>
      <c r="P314" s="19" t="n"/>
    </row>
    <row r="315">
      <c r="A315" s="19" t="n"/>
      <c r="B315" s="20" t="n"/>
      <c r="C315" s="21">
        <f>IF(B315="","",DATE(YEAR(B315),MONTH(B315),1))</f>
        <v/>
      </c>
      <c r="D315" s="19" t="n"/>
      <c r="E315" s="19" t="n"/>
      <c r="F315" s="19" t="n"/>
      <c r="G315" s="19" t="n"/>
      <c r="H315" s="19" t="n"/>
      <c r="I315" s="19" t="n"/>
      <c r="J315" s="19" t="n"/>
      <c r="K315" s="20" t="n"/>
      <c r="L315" s="22">
        <f>IF(OR(B315="",K315=""),"",K315-B315)</f>
        <v/>
      </c>
      <c r="M315" s="19" t="n"/>
      <c r="N315" s="19" t="n"/>
      <c r="O315" s="20" t="n"/>
      <c r="P315" s="19" t="n"/>
    </row>
    <row r="316">
      <c r="A316" s="19" t="n"/>
      <c r="B316" s="20" t="n"/>
      <c r="C316" s="21">
        <f>IF(B316="","",DATE(YEAR(B316),MONTH(B316),1))</f>
        <v/>
      </c>
      <c r="D316" s="19" t="n"/>
      <c r="E316" s="19" t="n"/>
      <c r="F316" s="19" t="n"/>
      <c r="G316" s="19" t="n"/>
      <c r="H316" s="19" t="n"/>
      <c r="I316" s="19" t="n"/>
      <c r="J316" s="19" t="n"/>
      <c r="K316" s="20" t="n"/>
      <c r="L316" s="22">
        <f>IF(OR(B316="",K316=""),"",K316-B316)</f>
        <v/>
      </c>
      <c r="M316" s="19" t="n"/>
      <c r="N316" s="19" t="n"/>
      <c r="O316" s="20" t="n"/>
      <c r="P316" s="19" t="n"/>
    </row>
    <row r="317">
      <c r="A317" s="19" t="n"/>
      <c r="B317" s="20" t="n"/>
      <c r="C317" s="21">
        <f>IF(B317="","",DATE(YEAR(B317),MONTH(B317),1))</f>
        <v/>
      </c>
      <c r="D317" s="19" t="n"/>
      <c r="E317" s="19" t="n"/>
      <c r="F317" s="19" t="n"/>
      <c r="G317" s="19" t="n"/>
      <c r="H317" s="19" t="n"/>
      <c r="I317" s="19" t="n"/>
      <c r="J317" s="19" t="n"/>
      <c r="K317" s="20" t="n"/>
      <c r="L317" s="22">
        <f>IF(OR(B317="",K317=""),"",K317-B317)</f>
        <v/>
      </c>
      <c r="M317" s="19" t="n"/>
      <c r="N317" s="19" t="n"/>
      <c r="O317" s="20" t="n"/>
      <c r="P317" s="19" t="n"/>
    </row>
    <row r="318">
      <c r="A318" s="19" t="n"/>
      <c r="B318" s="20" t="n"/>
      <c r="C318" s="21">
        <f>IF(B318="","",DATE(YEAR(B318),MONTH(B318),1))</f>
        <v/>
      </c>
      <c r="D318" s="19" t="n"/>
      <c r="E318" s="19" t="n"/>
      <c r="F318" s="19" t="n"/>
      <c r="G318" s="19" t="n"/>
      <c r="H318" s="19" t="n"/>
      <c r="I318" s="19" t="n"/>
      <c r="J318" s="19" t="n"/>
      <c r="K318" s="20" t="n"/>
      <c r="L318" s="22">
        <f>IF(OR(B318="",K318=""),"",K318-B318)</f>
        <v/>
      </c>
      <c r="M318" s="19" t="n"/>
      <c r="N318" s="19" t="n"/>
      <c r="O318" s="20" t="n"/>
      <c r="P318" s="19" t="n"/>
    </row>
    <row r="319">
      <c r="A319" s="19" t="n"/>
      <c r="B319" s="20" t="n"/>
      <c r="C319" s="21">
        <f>IF(B319="","",DATE(YEAR(B319),MONTH(B319),1))</f>
        <v/>
      </c>
      <c r="D319" s="19" t="n"/>
      <c r="E319" s="19" t="n"/>
      <c r="F319" s="19" t="n"/>
      <c r="G319" s="19" t="n"/>
      <c r="H319" s="19" t="n"/>
      <c r="I319" s="19" t="n"/>
      <c r="J319" s="19" t="n"/>
      <c r="K319" s="20" t="n"/>
      <c r="L319" s="22">
        <f>IF(OR(B319="",K319=""),"",K319-B319)</f>
        <v/>
      </c>
      <c r="M319" s="19" t="n"/>
      <c r="N319" s="19" t="n"/>
      <c r="O319" s="20" t="n"/>
      <c r="P319" s="19" t="n"/>
    </row>
    <row r="320">
      <c r="A320" s="19" t="n"/>
      <c r="B320" s="20" t="n"/>
      <c r="C320" s="21">
        <f>IF(B320="","",DATE(YEAR(B320),MONTH(B320),1))</f>
        <v/>
      </c>
      <c r="D320" s="19" t="n"/>
      <c r="E320" s="19" t="n"/>
      <c r="F320" s="19" t="n"/>
      <c r="G320" s="19" t="n"/>
      <c r="H320" s="19" t="n"/>
      <c r="I320" s="19" t="n"/>
      <c r="J320" s="19" t="n"/>
      <c r="K320" s="20" t="n"/>
      <c r="L320" s="22">
        <f>IF(OR(B320="",K320=""),"",K320-B320)</f>
        <v/>
      </c>
      <c r="M320" s="19" t="n"/>
      <c r="N320" s="19" t="n"/>
      <c r="O320" s="20" t="n"/>
      <c r="P320" s="19" t="n"/>
    </row>
    <row r="321">
      <c r="A321" s="19" t="n"/>
      <c r="B321" s="20" t="n"/>
      <c r="C321" s="21">
        <f>IF(B321="","",DATE(YEAR(B321),MONTH(B321),1))</f>
        <v/>
      </c>
      <c r="D321" s="19" t="n"/>
      <c r="E321" s="19" t="n"/>
      <c r="F321" s="19" t="n"/>
      <c r="G321" s="19" t="n"/>
      <c r="H321" s="19" t="n"/>
      <c r="I321" s="19" t="n"/>
      <c r="J321" s="19" t="n"/>
      <c r="K321" s="20" t="n"/>
      <c r="L321" s="22">
        <f>IF(OR(B321="",K321=""),"",K321-B321)</f>
        <v/>
      </c>
      <c r="M321" s="19" t="n"/>
      <c r="N321" s="19" t="n"/>
      <c r="O321" s="20" t="n"/>
      <c r="P321" s="19" t="n"/>
    </row>
    <row r="322">
      <c r="A322" s="19" t="n"/>
      <c r="B322" s="20" t="n"/>
      <c r="C322" s="21">
        <f>IF(B322="","",DATE(YEAR(B322),MONTH(B322),1))</f>
        <v/>
      </c>
      <c r="D322" s="19" t="n"/>
      <c r="E322" s="19" t="n"/>
      <c r="F322" s="19" t="n"/>
      <c r="G322" s="19" t="n"/>
      <c r="H322" s="19" t="n"/>
      <c r="I322" s="19" t="n"/>
      <c r="J322" s="19" t="n"/>
      <c r="K322" s="20" t="n"/>
      <c r="L322" s="22">
        <f>IF(OR(B322="",K322=""),"",K322-B322)</f>
        <v/>
      </c>
      <c r="M322" s="19" t="n"/>
      <c r="N322" s="19" t="n"/>
      <c r="O322" s="20" t="n"/>
      <c r="P322" s="19" t="n"/>
    </row>
    <row r="323">
      <c r="A323" s="19" t="n"/>
      <c r="B323" s="20" t="n"/>
      <c r="C323" s="21">
        <f>IF(B323="","",DATE(YEAR(B323),MONTH(B323),1))</f>
        <v/>
      </c>
      <c r="D323" s="19" t="n"/>
      <c r="E323" s="19" t="n"/>
      <c r="F323" s="19" t="n"/>
      <c r="G323" s="19" t="n"/>
      <c r="H323" s="19" t="n"/>
      <c r="I323" s="19" t="n"/>
      <c r="J323" s="19" t="n"/>
      <c r="K323" s="20" t="n"/>
      <c r="L323" s="22">
        <f>IF(OR(B323="",K323=""),"",K323-B323)</f>
        <v/>
      </c>
      <c r="M323" s="19" t="n"/>
      <c r="N323" s="19" t="n"/>
      <c r="O323" s="20" t="n"/>
      <c r="P323" s="19" t="n"/>
    </row>
    <row r="324">
      <c r="A324" s="19" t="n"/>
      <c r="B324" s="20" t="n"/>
      <c r="C324" s="21">
        <f>IF(B324="","",DATE(YEAR(B324),MONTH(B324),1))</f>
        <v/>
      </c>
      <c r="D324" s="19" t="n"/>
      <c r="E324" s="19" t="n"/>
      <c r="F324" s="19" t="n"/>
      <c r="G324" s="19" t="n"/>
      <c r="H324" s="19" t="n"/>
      <c r="I324" s="19" t="n"/>
      <c r="J324" s="19" t="n"/>
      <c r="K324" s="20" t="n"/>
      <c r="L324" s="22">
        <f>IF(OR(B324="",K324=""),"",K324-B324)</f>
        <v/>
      </c>
      <c r="M324" s="19" t="n"/>
      <c r="N324" s="19" t="n"/>
      <c r="O324" s="20" t="n"/>
      <c r="P324" s="19" t="n"/>
    </row>
    <row r="325">
      <c r="A325" s="19" t="n"/>
      <c r="B325" s="20" t="n"/>
      <c r="C325" s="21">
        <f>IF(B325="","",DATE(YEAR(B325),MONTH(B325),1))</f>
        <v/>
      </c>
      <c r="D325" s="19" t="n"/>
      <c r="E325" s="19" t="n"/>
      <c r="F325" s="19" t="n"/>
      <c r="G325" s="19" t="n"/>
      <c r="H325" s="19" t="n"/>
      <c r="I325" s="19" t="n"/>
      <c r="J325" s="19" t="n"/>
      <c r="K325" s="20" t="n"/>
      <c r="L325" s="22">
        <f>IF(OR(B325="",K325=""),"",K325-B325)</f>
        <v/>
      </c>
      <c r="M325" s="19" t="n"/>
      <c r="N325" s="19" t="n"/>
      <c r="O325" s="20" t="n"/>
      <c r="P325" s="19" t="n"/>
    </row>
    <row r="326">
      <c r="A326" s="19" t="n"/>
      <c r="B326" s="20" t="n"/>
      <c r="C326" s="21">
        <f>IF(B326="","",DATE(YEAR(B326),MONTH(B326),1))</f>
        <v/>
      </c>
      <c r="D326" s="19" t="n"/>
      <c r="E326" s="19" t="n"/>
      <c r="F326" s="19" t="n"/>
      <c r="G326" s="19" t="n"/>
      <c r="H326" s="19" t="n"/>
      <c r="I326" s="19" t="n"/>
      <c r="J326" s="19" t="n"/>
      <c r="K326" s="20" t="n"/>
      <c r="L326" s="22">
        <f>IF(OR(B326="",K326=""),"",K326-B326)</f>
        <v/>
      </c>
      <c r="M326" s="19" t="n"/>
      <c r="N326" s="19" t="n"/>
      <c r="O326" s="20" t="n"/>
      <c r="P326" s="19" t="n"/>
    </row>
    <row r="327">
      <c r="A327" s="19" t="n"/>
      <c r="B327" s="20" t="n"/>
      <c r="C327" s="21">
        <f>IF(B327="","",DATE(YEAR(B327),MONTH(B327),1))</f>
        <v/>
      </c>
      <c r="D327" s="19" t="n"/>
      <c r="E327" s="19" t="n"/>
      <c r="F327" s="19" t="n"/>
      <c r="G327" s="19" t="n"/>
      <c r="H327" s="19" t="n"/>
      <c r="I327" s="19" t="n"/>
      <c r="J327" s="19" t="n"/>
      <c r="K327" s="20" t="n"/>
      <c r="L327" s="22">
        <f>IF(OR(B327="",K327=""),"",K327-B327)</f>
        <v/>
      </c>
      <c r="M327" s="19" t="n"/>
      <c r="N327" s="19" t="n"/>
      <c r="O327" s="20" t="n"/>
      <c r="P327" s="19" t="n"/>
    </row>
    <row r="328">
      <c r="A328" s="19" t="n"/>
      <c r="B328" s="20" t="n"/>
      <c r="C328" s="21">
        <f>IF(B328="","",DATE(YEAR(B328),MONTH(B328),1))</f>
        <v/>
      </c>
      <c r="D328" s="19" t="n"/>
      <c r="E328" s="19" t="n"/>
      <c r="F328" s="19" t="n"/>
      <c r="G328" s="19" t="n"/>
      <c r="H328" s="19" t="n"/>
      <c r="I328" s="19" t="n"/>
      <c r="J328" s="19" t="n"/>
      <c r="K328" s="20" t="n"/>
      <c r="L328" s="22">
        <f>IF(OR(B328="",K328=""),"",K328-B328)</f>
        <v/>
      </c>
      <c r="M328" s="19" t="n"/>
      <c r="N328" s="19" t="n"/>
      <c r="O328" s="20" t="n"/>
      <c r="P328" s="19" t="n"/>
    </row>
    <row r="329">
      <c r="A329" s="19" t="n"/>
      <c r="B329" s="20" t="n"/>
      <c r="C329" s="21">
        <f>IF(B329="","",DATE(YEAR(B329),MONTH(B329),1))</f>
        <v/>
      </c>
      <c r="D329" s="19" t="n"/>
      <c r="E329" s="19" t="n"/>
      <c r="F329" s="19" t="n"/>
      <c r="G329" s="19" t="n"/>
      <c r="H329" s="19" t="n"/>
      <c r="I329" s="19" t="n"/>
      <c r="J329" s="19" t="n"/>
      <c r="K329" s="20" t="n"/>
      <c r="L329" s="22">
        <f>IF(OR(B329="",K329=""),"",K329-B329)</f>
        <v/>
      </c>
      <c r="M329" s="19" t="n"/>
      <c r="N329" s="19" t="n"/>
      <c r="O329" s="20" t="n"/>
      <c r="P329" s="19" t="n"/>
    </row>
    <row r="330">
      <c r="A330" s="19" t="n"/>
      <c r="B330" s="20" t="n"/>
      <c r="C330" s="21">
        <f>IF(B330="","",DATE(YEAR(B330),MONTH(B330),1))</f>
        <v/>
      </c>
      <c r="D330" s="19" t="n"/>
      <c r="E330" s="19" t="n"/>
      <c r="F330" s="19" t="n"/>
      <c r="G330" s="19" t="n"/>
      <c r="H330" s="19" t="n"/>
      <c r="I330" s="19" t="n"/>
      <c r="J330" s="19" t="n"/>
      <c r="K330" s="20" t="n"/>
      <c r="L330" s="22">
        <f>IF(OR(B330="",K330=""),"",K330-B330)</f>
        <v/>
      </c>
      <c r="M330" s="19" t="n"/>
      <c r="N330" s="19" t="n"/>
      <c r="O330" s="20" t="n"/>
      <c r="P330" s="19" t="n"/>
    </row>
    <row r="331">
      <c r="A331" s="19" t="n"/>
      <c r="B331" s="20" t="n"/>
      <c r="C331" s="21">
        <f>IF(B331="","",DATE(YEAR(B331),MONTH(B331),1))</f>
        <v/>
      </c>
      <c r="D331" s="19" t="n"/>
      <c r="E331" s="19" t="n"/>
      <c r="F331" s="19" t="n"/>
      <c r="G331" s="19" t="n"/>
      <c r="H331" s="19" t="n"/>
      <c r="I331" s="19" t="n"/>
      <c r="J331" s="19" t="n"/>
      <c r="K331" s="20" t="n"/>
      <c r="L331" s="22">
        <f>IF(OR(B331="",K331=""),"",K331-B331)</f>
        <v/>
      </c>
      <c r="M331" s="19" t="n"/>
      <c r="N331" s="19" t="n"/>
      <c r="O331" s="20" t="n"/>
      <c r="P331" s="19" t="n"/>
    </row>
    <row r="332">
      <c r="A332" s="19" t="n"/>
      <c r="B332" s="20" t="n"/>
      <c r="C332" s="21">
        <f>IF(B332="","",DATE(YEAR(B332),MONTH(B332),1))</f>
        <v/>
      </c>
      <c r="D332" s="19" t="n"/>
      <c r="E332" s="19" t="n"/>
      <c r="F332" s="19" t="n"/>
      <c r="G332" s="19" t="n"/>
      <c r="H332" s="19" t="n"/>
      <c r="I332" s="19" t="n"/>
      <c r="J332" s="19" t="n"/>
      <c r="K332" s="20" t="n"/>
      <c r="L332" s="22">
        <f>IF(OR(B332="",K332=""),"",K332-B332)</f>
        <v/>
      </c>
      <c r="M332" s="19" t="n"/>
      <c r="N332" s="19" t="n"/>
      <c r="O332" s="20" t="n"/>
      <c r="P332" s="19" t="n"/>
    </row>
    <row r="333">
      <c r="A333" s="19" t="n"/>
      <c r="B333" s="20" t="n"/>
      <c r="C333" s="21">
        <f>IF(B333="","",DATE(YEAR(B333),MONTH(B333),1))</f>
        <v/>
      </c>
      <c r="D333" s="19" t="n"/>
      <c r="E333" s="19" t="n"/>
      <c r="F333" s="19" t="n"/>
      <c r="G333" s="19" t="n"/>
      <c r="H333" s="19" t="n"/>
      <c r="I333" s="19" t="n"/>
      <c r="J333" s="19" t="n"/>
      <c r="K333" s="20" t="n"/>
      <c r="L333" s="22">
        <f>IF(OR(B333="",K333=""),"",K333-B333)</f>
        <v/>
      </c>
      <c r="M333" s="19" t="n"/>
      <c r="N333" s="19" t="n"/>
      <c r="O333" s="20" t="n"/>
      <c r="P333" s="19" t="n"/>
    </row>
    <row r="334">
      <c r="A334" s="19" t="n"/>
      <c r="B334" s="20" t="n"/>
      <c r="C334" s="21">
        <f>IF(B334="","",DATE(YEAR(B334),MONTH(B334),1))</f>
        <v/>
      </c>
      <c r="D334" s="19" t="n"/>
      <c r="E334" s="19" t="n"/>
      <c r="F334" s="19" t="n"/>
      <c r="G334" s="19" t="n"/>
      <c r="H334" s="19" t="n"/>
      <c r="I334" s="19" t="n"/>
      <c r="J334" s="19" t="n"/>
      <c r="K334" s="20" t="n"/>
      <c r="L334" s="22">
        <f>IF(OR(B334="",K334=""),"",K334-B334)</f>
        <v/>
      </c>
      <c r="M334" s="19" t="n"/>
      <c r="N334" s="19" t="n"/>
      <c r="O334" s="20" t="n"/>
      <c r="P334" s="19" t="n"/>
    </row>
    <row r="335">
      <c r="A335" s="19" t="n"/>
      <c r="B335" s="20" t="n"/>
      <c r="C335" s="21">
        <f>IF(B335="","",DATE(YEAR(B335),MONTH(B335),1))</f>
        <v/>
      </c>
      <c r="D335" s="19" t="n"/>
      <c r="E335" s="19" t="n"/>
      <c r="F335" s="19" t="n"/>
      <c r="G335" s="19" t="n"/>
      <c r="H335" s="19" t="n"/>
      <c r="I335" s="19" t="n"/>
      <c r="J335" s="19" t="n"/>
      <c r="K335" s="20" t="n"/>
      <c r="L335" s="22">
        <f>IF(OR(B335="",K335=""),"",K335-B335)</f>
        <v/>
      </c>
      <c r="M335" s="19" t="n"/>
      <c r="N335" s="19" t="n"/>
      <c r="O335" s="20" t="n"/>
      <c r="P335" s="19" t="n"/>
    </row>
    <row r="336">
      <c r="A336" s="19" t="n"/>
      <c r="B336" s="20" t="n"/>
      <c r="C336" s="21">
        <f>IF(B336="","",DATE(YEAR(B336),MONTH(B336),1))</f>
        <v/>
      </c>
      <c r="D336" s="19" t="n"/>
      <c r="E336" s="19" t="n"/>
      <c r="F336" s="19" t="n"/>
      <c r="G336" s="19" t="n"/>
      <c r="H336" s="19" t="n"/>
      <c r="I336" s="19" t="n"/>
      <c r="J336" s="19" t="n"/>
      <c r="K336" s="20" t="n"/>
      <c r="L336" s="22">
        <f>IF(OR(B336="",K336=""),"",K336-B336)</f>
        <v/>
      </c>
      <c r="M336" s="19" t="n"/>
      <c r="N336" s="19" t="n"/>
      <c r="O336" s="20" t="n"/>
      <c r="P336" s="19" t="n"/>
    </row>
    <row r="337">
      <c r="A337" s="19" t="n"/>
      <c r="B337" s="20" t="n"/>
      <c r="C337" s="21">
        <f>IF(B337="","",DATE(YEAR(B337),MONTH(B337),1))</f>
        <v/>
      </c>
      <c r="D337" s="19" t="n"/>
      <c r="E337" s="19" t="n"/>
      <c r="F337" s="19" t="n"/>
      <c r="G337" s="19" t="n"/>
      <c r="H337" s="19" t="n"/>
      <c r="I337" s="19" t="n"/>
      <c r="J337" s="19" t="n"/>
      <c r="K337" s="20" t="n"/>
      <c r="L337" s="22">
        <f>IF(OR(B337="",K337=""),"",K337-B337)</f>
        <v/>
      </c>
      <c r="M337" s="19" t="n"/>
      <c r="N337" s="19" t="n"/>
      <c r="O337" s="20" t="n"/>
      <c r="P337" s="19" t="n"/>
    </row>
    <row r="338">
      <c r="A338" s="19" t="n"/>
      <c r="B338" s="20" t="n"/>
      <c r="C338" s="21">
        <f>IF(B338="","",DATE(YEAR(B338),MONTH(B338),1))</f>
        <v/>
      </c>
      <c r="D338" s="19" t="n"/>
      <c r="E338" s="19" t="n"/>
      <c r="F338" s="19" t="n"/>
      <c r="G338" s="19" t="n"/>
      <c r="H338" s="19" t="n"/>
      <c r="I338" s="19" t="n"/>
      <c r="J338" s="19" t="n"/>
      <c r="K338" s="20" t="n"/>
      <c r="L338" s="22">
        <f>IF(OR(B338="",K338=""),"",K338-B338)</f>
        <v/>
      </c>
      <c r="M338" s="19" t="n"/>
      <c r="N338" s="19" t="n"/>
      <c r="O338" s="20" t="n"/>
      <c r="P338" s="19" t="n"/>
    </row>
    <row r="339">
      <c r="A339" s="19" t="n"/>
      <c r="B339" s="20" t="n"/>
      <c r="C339" s="21">
        <f>IF(B339="","",DATE(YEAR(B339),MONTH(B339),1))</f>
        <v/>
      </c>
      <c r="D339" s="19" t="n"/>
      <c r="E339" s="19" t="n"/>
      <c r="F339" s="19" t="n"/>
      <c r="G339" s="19" t="n"/>
      <c r="H339" s="19" t="n"/>
      <c r="I339" s="19" t="n"/>
      <c r="J339" s="19" t="n"/>
      <c r="K339" s="20" t="n"/>
      <c r="L339" s="22">
        <f>IF(OR(B339="",K339=""),"",K339-B339)</f>
        <v/>
      </c>
      <c r="M339" s="19" t="n"/>
      <c r="N339" s="19" t="n"/>
      <c r="O339" s="20" t="n"/>
      <c r="P339" s="19" t="n"/>
    </row>
    <row r="340">
      <c r="A340" s="19" t="n"/>
      <c r="B340" s="20" t="n"/>
      <c r="C340" s="21">
        <f>IF(B340="","",DATE(YEAR(B340),MONTH(B340),1))</f>
        <v/>
      </c>
      <c r="D340" s="19" t="n"/>
      <c r="E340" s="19" t="n"/>
      <c r="F340" s="19" t="n"/>
      <c r="G340" s="19" t="n"/>
      <c r="H340" s="19" t="n"/>
      <c r="I340" s="19" t="n"/>
      <c r="J340" s="19" t="n"/>
      <c r="K340" s="20" t="n"/>
      <c r="L340" s="22">
        <f>IF(OR(B340="",K340=""),"",K340-B340)</f>
        <v/>
      </c>
      <c r="M340" s="19" t="n"/>
      <c r="N340" s="19" t="n"/>
      <c r="O340" s="20" t="n"/>
      <c r="P340" s="19" t="n"/>
    </row>
    <row r="341">
      <c r="A341" s="19" t="n"/>
      <c r="B341" s="20" t="n"/>
      <c r="C341" s="21">
        <f>IF(B341="","",DATE(YEAR(B341),MONTH(B341),1))</f>
        <v/>
      </c>
      <c r="D341" s="19" t="n"/>
      <c r="E341" s="19" t="n"/>
      <c r="F341" s="19" t="n"/>
      <c r="G341" s="19" t="n"/>
      <c r="H341" s="19" t="n"/>
      <c r="I341" s="19" t="n"/>
      <c r="J341" s="19" t="n"/>
      <c r="K341" s="20" t="n"/>
      <c r="L341" s="22">
        <f>IF(OR(B341="",K341=""),"",K341-B341)</f>
        <v/>
      </c>
      <c r="M341" s="19" t="n"/>
      <c r="N341" s="19" t="n"/>
      <c r="O341" s="20" t="n"/>
      <c r="P341" s="19" t="n"/>
    </row>
    <row r="342">
      <c r="A342" s="19" t="n"/>
      <c r="B342" s="20" t="n"/>
      <c r="C342" s="21">
        <f>IF(B342="","",DATE(YEAR(B342),MONTH(B342),1))</f>
        <v/>
      </c>
      <c r="D342" s="19" t="n"/>
      <c r="E342" s="19" t="n"/>
      <c r="F342" s="19" t="n"/>
      <c r="G342" s="19" t="n"/>
      <c r="H342" s="19" t="n"/>
      <c r="I342" s="19" t="n"/>
      <c r="J342" s="19" t="n"/>
      <c r="K342" s="20" t="n"/>
      <c r="L342" s="22">
        <f>IF(OR(B342="",K342=""),"",K342-B342)</f>
        <v/>
      </c>
      <c r="M342" s="19" t="n"/>
      <c r="N342" s="19" t="n"/>
      <c r="O342" s="20" t="n"/>
      <c r="P342" s="19" t="n"/>
    </row>
    <row r="343">
      <c r="A343" s="19" t="n"/>
      <c r="B343" s="20" t="n"/>
      <c r="C343" s="21">
        <f>IF(B343="","",DATE(YEAR(B343),MONTH(B343),1))</f>
        <v/>
      </c>
      <c r="D343" s="19" t="n"/>
      <c r="E343" s="19" t="n"/>
      <c r="F343" s="19" t="n"/>
      <c r="G343" s="19" t="n"/>
      <c r="H343" s="19" t="n"/>
      <c r="I343" s="19" t="n"/>
      <c r="J343" s="19" t="n"/>
      <c r="K343" s="20" t="n"/>
      <c r="L343" s="22">
        <f>IF(OR(B343="",K343=""),"",K343-B343)</f>
        <v/>
      </c>
      <c r="M343" s="19" t="n"/>
      <c r="N343" s="19" t="n"/>
      <c r="O343" s="20" t="n"/>
      <c r="P343" s="19" t="n"/>
    </row>
    <row r="344">
      <c r="A344" s="19" t="n"/>
      <c r="B344" s="20" t="n"/>
      <c r="C344" s="21">
        <f>IF(B344="","",DATE(YEAR(B344),MONTH(B344),1))</f>
        <v/>
      </c>
      <c r="D344" s="19" t="n"/>
      <c r="E344" s="19" t="n"/>
      <c r="F344" s="19" t="n"/>
      <c r="G344" s="19" t="n"/>
      <c r="H344" s="19" t="n"/>
      <c r="I344" s="19" t="n"/>
      <c r="J344" s="19" t="n"/>
      <c r="K344" s="20" t="n"/>
      <c r="L344" s="22">
        <f>IF(OR(B344="",K344=""),"",K344-B344)</f>
        <v/>
      </c>
      <c r="M344" s="19" t="n"/>
      <c r="N344" s="19" t="n"/>
      <c r="O344" s="20" t="n"/>
      <c r="P344" s="19" t="n"/>
    </row>
    <row r="345">
      <c r="A345" s="19" t="n"/>
      <c r="B345" s="20" t="n"/>
      <c r="C345" s="21">
        <f>IF(B345="","",DATE(YEAR(B345),MONTH(B345),1))</f>
        <v/>
      </c>
      <c r="D345" s="19" t="n"/>
      <c r="E345" s="19" t="n"/>
      <c r="F345" s="19" t="n"/>
      <c r="G345" s="19" t="n"/>
      <c r="H345" s="19" t="n"/>
      <c r="I345" s="19" t="n"/>
      <c r="J345" s="19" t="n"/>
      <c r="K345" s="20" t="n"/>
      <c r="L345" s="22">
        <f>IF(OR(B345="",K345=""),"",K345-B345)</f>
        <v/>
      </c>
      <c r="M345" s="19" t="n"/>
      <c r="N345" s="19" t="n"/>
      <c r="O345" s="20" t="n"/>
      <c r="P345" s="19" t="n"/>
    </row>
    <row r="346">
      <c r="A346" s="19" t="n"/>
      <c r="B346" s="20" t="n"/>
      <c r="C346" s="21">
        <f>IF(B346="","",DATE(YEAR(B346),MONTH(B346),1))</f>
        <v/>
      </c>
      <c r="D346" s="19" t="n"/>
      <c r="E346" s="19" t="n"/>
      <c r="F346" s="19" t="n"/>
      <c r="G346" s="19" t="n"/>
      <c r="H346" s="19" t="n"/>
      <c r="I346" s="19" t="n"/>
      <c r="J346" s="19" t="n"/>
      <c r="K346" s="20" t="n"/>
      <c r="L346" s="22">
        <f>IF(OR(B346="",K346=""),"",K346-B346)</f>
        <v/>
      </c>
      <c r="M346" s="19" t="n"/>
      <c r="N346" s="19" t="n"/>
      <c r="O346" s="20" t="n"/>
      <c r="P346" s="19" t="n"/>
    </row>
    <row r="347">
      <c r="A347" s="19" t="n"/>
      <c r="B347" s="20" t="n"/>
      <c r="C347" s="21">
        <f>IF(B347="","",DATE(YEAR(B347),MONTH(B347),1))</f>
        <v/>
      </c>
      <c r="D347" s="19" t="n"/>
      <c r="E347" s="19" t="n"/>
      <c r="F347" s="19" t="n"/>
      <c r="G347" s="19" t="n"/>
      <c r="H347" s="19" t="n"/>
      <c r="I347" s="19" t="n"/>
      <c r="J347" s="19" t="n"/>
      <c r="K347" s="20" t="n"/>
      <c r="L347" s="22">
        <f>IF(OR(B347="",K347=""),"",K347-B347)</f>
        <v/>
      </c>
      <c r="M347" s="19" t="n"/>
      <c r="N347" s="19" t="n"/>
      <c r="O347" s="20" t="n"/>
      <c r="P347" s="19" t="n"/>
    </row>
    <row r="348">
      <c r="A348" s="19" t="n"/>
      <c r="B348" s="20" t="n"/>
      <c r="C348" s="21">
        <f>IF(B348="","",DATE(YEAR(B348),MONTH(B348),1))</f>
        <v/>
      </c>
      <c r="D348" s="19" t="n"/>
      <c r="E348" s="19" t="n"/>
      <c r="F348" s="19" t="n"/>
      <c r="G348" s="19" t="n"/>
      <c r="H348" s="19" t="n"/>
      <c r="I348" s="19" t="n"/>
      <c r="J348" s="19" t="n"/>
      <c r="K348" s="20" t="n"/>
      <c r="L348" s="22">
        <f>IF(OR(B348="",K348=""),"",K348-B348)</f>
        <v/>
      </c>
      <c r="M348" s="19" t="n"/>
      <c r="N348" s="19" t="n"/>
      <c r="O348" s="20" t="n"/>
      <c r="P348" s="19" t="n"/>
    </row>
    <row r="349">
      <c r="A349" s="19" t="n"/>
      <c r="B349" s="20" t="n"/>
      <c r="C349" s="21">
        <f>IF(B349="","",DATE(YEAR(B349),MONTH(B349),1))</f>
        <v/>
      </c>
      <c r="D349" s="19" t="n"/>
      <c r="E349" s="19" t="n"/>
      <c r="F349" s="19" t="n"/>
      <c r="G349" s="19" t="n"/>
      <c r="H349" s="19" t="n"/>
      <c r="I349" s="19" t="n"/>
      <c r="J349" s="19" t="n"/>
      <c r="K349" s="20" t="n"/>
      <c r="L349" s="22">
        <f>IF(OR(B349="",K349=""),"",K349-B349)</f>
        <v/>
      </c>
      <c r="M349" s="19" t="n"/>
      <c r="N349" s="19" t="n"/>
      <c r="O349" s="20" t="n"/>
      <c r="P349" s="19" t="n"/>
    </row>
    <row r="350">
      <c r="A350" s="19" t="n"/>
      <c r="B350" s="20" t="n"/>
      <c r="C350" s="21">
        <f>IF(B350="","",DATE(YEAR(B350),MONTH(B350),1))</f>
        <v/>
      </c>
      <c r="D350" s="19" t="n"/>
      <c r="E350" s="19" t="n"/>
      <c r="F350" s="19" t="n"/>
      <c r="G350" s="19" t="n"/>
      <c r="H350" s="19" t="n"/>
      <c r="I350" s="19" t="n"/>
      <c r="J350" s="19" t="n"/>
      <c r="K350" s="20" t="n"/>
      <c r="L350" s="22">
        <f>IF(OR(B350="",K350=""),"",K350-B350)</f>
        <v/>
      </c>
      <c r="M350" s="19" t="n"/>
      <c r="N350" s="19" t="n"/>
      <c r="O350" s="20" t="n"/>
      <c r="P350" s="19" t="n"/>
    </row>
    <row r="351">
      <c r="A351" s="19" t="n"/>
      <c r="B351" s="20" t="n"/>
      <c r="C351" s="21">
        <f>IF(B351="","",DATE(YEAR(B351),MONTH(B351),1))</f>
        <v/>
      </c>
      <c r="D351" s="19" t="n"/>
      <c r="E351" s="19" t="n"/>
      <c r="F351" s="19" t="n"/>
      <c r="G351" s="19" t="n"/>
      <c r="H351" s="19" t="n"/>
      <c r="I351" s="19" t="n"/>
      <c r="J351" s="19" t="n"/>
      <c r="K351" s="20" t="n"/>
      <c r="L351" s="22">
        <f>IF(OR(B351="",K351=""),"",K351-B351)</f>
        <v/>
      </c>
      <c r="M351" s="19" t="n"/>
      <c r="N351" s="19" t="n"/>
      <c r="O351" s="20" t="n"/>
      <c r="P351" s="19" t="n"/>
    </row>
    <row r="352">
      <c r="A352" s="19" t="n"/>
      <c r="B352" s="20" t="n"/>
      <c r="C352" s="21">
        <f>IF(B352="","",DATE(YEAR(B352),MONTH(B352),1))</f>
        <v/>
      </c>
      <c r="D352" s="19" t="n"/>
      <c r="E352" s="19" t="n"/>
      <c r="F352" s="19" t="n"/>
      <c r="G352" s="19" t="n"/>
      <c r="H352" s="19" t="n"/>
      <c r="I352" s="19" t="n"/>
      <c r="J352" s="19" t="n"/>
      <c r="K352" s="20" t="n"/>
      <c r="L352" s="22">
        <f>IF(OR(B352="",K352=""),"",K352-B352)</f>
        <v/>
      </c>
      <c r="M352" s="19" t="n"/>
      <c r="N352" s="19" t="n"/>
      <c r="O352" s="20" t="n"/>
      <c r="P352" s="19" t="n"/>
    </row>
    <row r="353">
      <c r="A353" s="19" t="n"/>
      <c r="B353" s="20" t="n"/>
      <c r="C353" s="21">
        <f>IF(B353="","",DATE(YEAR(B353),MONTH(B353),1))</f>
        <v/>
      </c>
      <c r="D353" s="19" t="n"/>
      <c r="E353" s="19" t="n"/>
      <c r="F353" s="19" t="n"/>
      <c r="G353" s="19" t="n"/>
      <c r="H353" s="19" t="n"/>
      <c r="I353" s="19" t="n"/>
      <c r="J353" s="19" t="n"/>
      <c r="K353" s="20" t="n"/>
      <c r="L353" s="22">
        <f>IF(OR(B353="",K353=""),"",K353-B353)</f>
        <v/>
      </c>
      <c r="M353" s="19" t="n"/>
      <c r="N353" s="19" t="n"/>
      <c r="O353" s="20" t="n"/>
      <c r="P353" s="19" t="n"/>
    </row>
    <row r="354">
      <c r="A354" s="19" t="n"/>
      <c r="B354" s="20" t="n"/>
      <c r="C354" s="21">
        <f>IF(B354="","",DATE(YEAR(B354),MONTH(B354),1))</f>
        <v/>
      </c>
      <c r="D354" s="19" t="n"/>
      <c r="E354" s="19" t="n"/>
      <c r="F354" s="19" t="n"/>
      <c r="G354" s="19" t="n"/>
      <c r="H354" s="19" t="n"/>
      <c r="I354" s="19" t="n"/>
      <c r="J354" s="19" t="n"/>
      <c r="K354" s="20" t="n"/>
      <c r="L354" s="22">
        <f>IF(OR(B354="",K354=""),"",K354-B354)</f>
        <v/>
      </c>
      <c r="M354" s="19" t="n"/>
      <c r="N354" s="19" t="n"/>
      <c r="O354" s="20" t="n"/>
      <c r="P354" s="19" t="n"/>
    </row>
    <row r="355">
      <c r="A355" s="19" t="n"/>
      <c r="B355" s="20" t="n"/>
      <c r="C355" s="21">
        <f>IF(B355="","",DATE(YEAR(B355),MONTH(B355),1))</f>
        <v/>
      </c>
      <c r="D355" s="19" t="n"/>
      <c r="E355" s="19" t="n"/>
      <c r="F355" s="19" t="n"/>
      <c r="G355" s="19" t="n"/>
      <c r="H355" s="19" t="n"/>
      <c r="I355" s="19" t="n"/>
      <c r="J355" s="19" t="n"/>
      <c r="K355" s="20" t="n"/>
      <c r="L355" s="22">
        <f>IF(OR(B355="",K355=""),"",K355-B355)</f>
        <v/>
      </c>
      <c r="M355" s="19" t="n"/>
      <c r="N355" s="19" t="n"/>
      <c r="O355" s="20" t="n"/>
      <c r="P355" s="19" t="n"/>
    </row>
    <row r="356">
      <c r="A356" s="19" t="n"/>
      <c r="B356" s="20" t="n"/>
      <c r="C356" s="21">
        <f>IF(B356="","",DATE(YEAR(B356),MONTH(B356),1))</f>
        <v/>
      </c>
      <c r="D356" s="19" t="n"/>
      <c r="E356" s="19" t="n"/>
      <c r="F356" s="19" t="n"/>
      <c r="G356" s="19" t="n"/>
      <c r="H356" s="19" t="n"/>
      <c r="I356" s="19" t="n"/>
      <c r="J356" s="19" t="n"/>
      <c r="K356" s="20" t="n"/>
      <c r="L356" s="22">
        <f>IF(OR(B356="",K356=""),"",K356-B356)</f>
        <v/>
      </c>
      <c r="M356" s="19" t="n"/>
      <c r="N356" s="19" t="n"/>
      <c r="O356" s="20" t="n"/>
      <c r="P356" s="19" t="n"/>
    </row>
    <row r="357">
      <c r="A357" s="19" t="n"/>
      <c r="B357" s="20" t="n"/>
      <c r="C357" s="21">
        <f>IF(B357="","",DATE(YEAR(B357),MONTH(B357),1))</f>
        <v/>
      </c>
      <c r="D357" s="19" t="n"/>
      <c r="E357" s="19" t="n"/>
      <c r="F357" s="19" t="n"/>
      <c r="G357" s="19" t="n"/>
      <c r="H357" s="19" t="n"/>
      <c r="I357" s="19" t="n"/>
      <c r="J357" s="19" t="n"/>
      <c r="K357" s="20" t="n"/>
      <c r="L357" s="22">
        <f>IF(OR(B357="",K357=""),"",K357-B357)</f>
        <v/>
      </c>
      <c r="M357" s="19" t="n"/>
      <c r="N357" s="19" t="n"/>
      <c r="O357" s="20" t="n"/>
      <c r="P357" s="19" t="n"/>
    </row>
    <row r="358">
      <c r="A358" s="19" t="n"/>
      <c r="B358" s="20" t="n"/>
      <c r="C358" s="21">
        <f>IF(B358="","",DATE(YEAR(B358),MONTH(B358),1))</f>
        <v/>
      </c>
      <c r="D358" s="19" t="n"/>
      <c r="E358" s="19" t="n"/>
      <c r="F358" s="19" t="n"/>
      <c r="G358" s="19" t="n"/>
      <c r="H358" s="19" t="n"/>
      <c r="I358" s="19" t="n"/>
      <c r="J358" s="19" t="n"/>
      <c r="K358" s="20" t="n"/>
      <c r="L358" s="22">
        <f>IF(OR(B358="",K358=""),"",K358-B358)</f>
        <v/>
      </c>
      <c r="M358" s="19" t="n"/>
      <c r="N358" s="19" t="n"/>
      <c r="O358" s="20" t="n"/>
      <c r="P358" s="19" t="n"/>
    </row>
    <row r="359">
      <c r="A359" s="19" t="n"/>
      <c r="B359" s="20" t="n"/>
      <c r="C359" s="21">
        <f>IF(B359="","",DATE(YEAR(B359),MONTH(B359),1))</f>
        <v/>
      </c>
      <c r="D359" s="19" t="n"/>
      <c r="E359" s="19" t="n"/>
      <c r="F359" s="19" t="n"/>
      <c r="G359" s="19" t="n"/>
      <c r="H359" s="19" t="n"/>
      <c r="I359" s="19" t="n"/>
      <c r="J359" s="19" t="n"/>
      <c r="K359" s="20" t="n"/>
      <c r="L359" s="22">
        <f>IF(OR(B359="",K359=""),"",K359-B359)</f>
        <v/>
      </c>
      <c r="M359" s="19" t="n"/>
      <c r="N359" s="19" t="n"/>
      <c r="O359" s="20" t="n"/>
      <c r="P359" s="19" t="n"/>
    </row>
    <row r="360">
      <c r="A360" s="19" t="n"/>
      <c r="B360" s="20" t="n"/>
      <c r="C360" s="21">
        <f>IF(B360="","",DATE(YEAR(B360),MONTH(B360),1))</f>
        <v/>
      </c>
      <c r="D360" s="19" t="n"/>
      <c r="E360" s="19" t="n"/>
      <c r="F360" s="19" t="n"/>
      <c r="G360" s="19" t="n"/>
      <c r="H360" s="19" t="n"/>
      <c r="I360" s="19" t="n"/>
      <c r="J360" s="19" t="n"/>
      <c r="K360" s="20" t="n"/>
      <c r="L360" s="22">
        <f>IF(OR(B360="",K360=""),"",K360-B360)</f>
        <v/>
      </c>
      <c r="M360" s="19" t="n"/>
      <c r="N360" s="19" t="n"/>
      <c r="O360" s="20" t="n"/>
      <c r="P360" s="19" t="n"/>
    </row>
    <row r="361">
      <c r="A361" s="19" t="n"/>
      <c r="B361" s="20" t="n"/>
      <c r="C361" s="21">
        <f>IF(B361="","",DATE(YEAR(B361),MONTH(B361),1))</f>
        <v/>
      </c>
      <c r="D361" s="19" t="n"/>
      <c r="E361" s="19" t="n"/>
      <c r="F361" s="19" t="n"/>
      <c r="G361" s="19" t="n"/>
      <c r="H361" s="19" t="n"/>
      <c r="I361" s="19" t="n"/>
      <c r="J361" s="19" t="n"/>
      <c r="K361" s="20" t="n"/>
      <c r="L361" s="22">
        <f>IF(OR(B361="",K361=""),"",K361-B361)</f>
        <v/>
      </c>
      <c r="M361" s="19" t="n"/>
      <c r="N361" s="19" t="n"/>
      <c r="O361" s="20" t="n"/>
      <c r="P361" s="19" t="n"/>
    </row>
    <row r="362">
      <c r="A362" s="19" t="n"/>
      <c r="B362" s="20" t="n"/>
      <c r="C362" s="21">
        <f>IF(B362="","",DATE(YEAR(B362),MONTH(B362),1))</f>
        <v/>
      </c>
      <c r="D362" s="19" t="n"/>
      <c r="E362" s="19" t="n"/>
      <c r="F362" s="19" t="n"/>
      <c r="G362" s="19" t="n"/>
      <c r="H362" s="19" t="n"/>
      <c r="I362" s="19" t="n"/>
      <c r="J362" s="19" t="n"/>
      <c r="K362" s="20" t="n"/>
      <c r="L362" s="22">
        <f>IF(OR(B362="",K362=""),"",K362-B362)</f>
        <v/>
      </c>
      <c r="M362" s="19" t="n"/>
      <c r="N362" s="19" t="n"/>
      <c r="O362" s="20" t="n"/>
      <c r="P362" s="19" t="n"/>
    </row>
    <row r="363">
      <c r="A363" s="19" t="n"/>
      <c r="B363" s="20" t="n"/>
      <c r="C363" s="21">
        <f>IF(B363="","",DATE(YEAR(B363),MONTH(B363),1))</f>
        <v/>
      </c>
      <c r="D363" s="19" t="n"/>
      <c r="E363" s="19" t="n"/>
      <c r="F363" s="19" t="n"/>
      <c r="G363" s="19" t="n"/>
      <c r="H363" s="19" t="n"/>
      <c r="I363" s="19" t="n"/>
      <c r="J363" s="19" t="n"/>
      <c r="K363" s="20" t="n"/>
      <c r="L363" s="22">
        <f>IF(OR(B363="",K363=""),"",K363-B363)</f>
        <v/>
      </c>
      <c r="M363" s="19" t="n"/>
      <c r="N363" s="19" t="n"/>
      <c r="O363" s="20" t="n"/>
      <c r="P363" s="19" t="n"/>
    </row>
    <row r="364">
      <c r="A364" s="19" t="n"/>
      <c r="B364" s="20" t="n"/>
      <c r="C364" s="21">
        <f>IF(B364="","",DATE(YEAR(B364),MONTH(B364),1))</f>
        <v/>
      </c>
      <c r="D364" s="19" t="n"/>
      <c r="E364" s="19" t="n"/>
      <c r="F364" s="19" t="n"/>
      <c r="G364" s="19" t="n"/>
      <c r="H364" s="19" t="n"/>
      <c r="I364" s="19" t="n"/>
      <c r="J364" s="19" t="n"/>
      <c r="K364" s="20" t="n"/>
      <c r="L364" s="22">
        <f>IF(OR(B364="",K364=""),"",K364-B364)</f>
        <v/>
      </c>
      <c r="M364" s="19" t="n"/>
      <c r="N364" s="19" t="n"/>
      <c r="O364" s="20" t="n"/>
      <c r="P364" s="19" t="n"/>
    </row>
    <row r="365">
      <c r="A365" s="19" t="n"/>
      <c r="B365" s="20" t="n"/>
      <c r="C365" s="21">
        <f>IF(B365="","",DATE(YEAR(B365),MONTH(B365),1))</f>
        <v/>
      </c>
      <c r="D365" s="19" t="n"/>
      <c r="E365" s="19" t="n"/>
      <c r="F365" s="19" t="n"/>
      <c r="G365" s="19" t="n"/>
      <c r="H365" s="19" t="n"/>
      <c r="I365" s="19" t="n"/>
      <c r="J365" s="19" t="n"/>
      <c r="K365" s="20" t="n"/>
      <c r="L365" s="22">
        <f>IF(OR(B365="",K365=""),"",K365-B365)</f>
        <v/>
      </c>
      <c r="M365" s="19" t="n"/>
      <c r="N365" s="19" t="n"/>
      <c r="O365" s="20" t="n"/>
      <c r="P365" s="19" t="n"/>
    </row>
    <row r="366">
      <c r="A366" s="19" t="n"/>
      <c r="B366" s="20" t="n"/>
      <c r="C366" s="21">
        <f>IF(B366="","",DATE(YEAR(B366),MONTH(B366),1))</f>
        <v/>
      </c>
      <c r="D366" s="19" t="n"/>
      <c r="E366" s="19" t="n"/>
      <c r="F366" s="19" t="n"/>
      <c r="G366" s="19" t="n"/>
      <c r="H366" s="19" t="n"/>
      <c r="I366" s="19" t="n"/>
      <c r="J366" s="19" t="n"/>
      <c r="K366" s="20" t="n"/>
      <c r="L366" s="22">
        <f>IF(OR(B366="",K366=""),"",K366-B366)</f>
        <v/>
      </c>
      <c r="M366" s="19" t="n"/>
      <c r="N366" s="19" t="n"/>
      <c r="O366" s="20" t="n"/>
      <c r="P366" s="19" t="n"/>
    </row>
    <row r="367">
      <c r="A367" s="19" t="n"/>
      <c r="B367" s="20" t="n"/>
      <c r="C367" s="21">
        <f>IF(B367="","",DATE(YEAR(B367),MONTH(B367),1))</f>
        <v/>
      </c>
      <c r="D367" s="19" t="n"/>
      <c r="E367" s="19" t="n"/>
      <c r="F367" s="19" t="n"/>
      <c r="G367" s="19" t="n"/>
      <c r="H367" s="19" t="n"/>
      <c r="I367" s="19" t="n"/>
      <c r="J367" s="19" t="n"/>
      <c r="K367" s="20" t="n"/>
      <c r="L367" s="22">
        <f>IF(OR(B367="",K367=""),"",K367-B367)</f>
        <v/>
      </c>
      <c r="M367" s="19" t="n"/>
      <c r="N367" s="19" t="n"/>
      <c r="O367" s="20" t="n"/>
      <c r="P367" s="19" t="n"/>
    </row>
    <row r="368">
      <c r="A368" s="19" t="n"/>
      <c r="B368" s="20" t="n"/>
      <c r="C368" s="21">
        <f>IF(B368="","",DATE(YEAR(B368),MONTH(B368),1))</f>
        <v/>
      </c>
      <c r="D368" s="19" t="n"/>
      <c r="E368" s="19" t="n"/>
      <c r="F368" s="19" t="n"/>
      <c r="G368" s="19" t="n"/>
      <c r="H368" s="19" t="n"/>
      <c r="I368" s="19" t="n"/>
      <c r="J368" s="19" t="n"/>
      <c r="K368" s="20" t="n"/>
      <c r="L368" s="22">
        <f>IF(OR(B368="",K368=""),"",K368-B368)</f>
        <v/>
      </c>
      <c r="M368" s="19" t="n"/>
      <c r="N368" s="19" t="n"/>
      <c r="O368" s="20" t="n"/>
      <c r="P368" s="19" t="n"/>
    </row>
    <row r="369">
      <c r="A369" s="19" t="n"/>
      <c r="B369" s="20" t="n"/>
      <c r="C369" s="21">
        <f>IF(B369="","",DATE(YEAR(B369),MONTH(B369),1))</f>
        <v/>
      </c>
      <c r="D369" s="19" t="n"/>
      <c r="E369" s="19" t="n"/>
      <c r="F369" s="19" t="n"/>
      <c r="G369" s="19" t="n"/>
      <c r="H369" s="19" t="n"/>
      <c r="I369" s="19" t="n"/>
      <c r="J369" s="19" t="n"/>
      <c r="K369" s="20" t="n"/>
      <c r="L369" s="22">
        <f>IF(OR(B369="",K369=""),"",K369-B369)</f>
        <v/>
      </c>
      <c r="M369" s="19" t="n"/>
      <c r="N369" s="19" t="n"/>
      <c r="O369" s="20" t="n"/>
      <c r="P369" s="19" t="n"/>
    </row>
    <row r="370">
      <c r="A370" s="19" t="n"/>
      <c r="B370" s="20" t="n"/>
      <c r="C370" s="21">
        <f>IF(B370="","",DATE(YEAR(B370),MONTH(B370),1))</f>
        <v/>
      </c>
      <c r="D370" s="19" t="n"/>
      <c r="E370" s="19" t="n"/>
      <c r="F370" s="19" t="n"/>
      <c r="G370" s="19" t="n"/>
      <c r="H370" s="19" t="n"/>
      <c r="I370" s="19" t="n"/>
      <c r="J370" s="19" t="n"/>
      <c r="K370" s="20" t="n"/>
      <c r="L370" s="22">
        <f>IF(OR(B370="",K370=""),"",K370-B370)</f>
        <v/>
      </c>
      <c r="M370" s="19" t="n"/>
      <c r="N370" s="19" t="n"/>
      <c r="O370" s="20" t="n"/>
      <c r="P370" s="19" t="n"/>
    </row>
    <row r="371">
      <c r="A371" s="19" t="n"/>
      <c r="B371" s="20" t="n"/>
      <c r="C371" s="21">
        <f>IF(B371="","",DATE(YEAR(B371),MONTH(B371),1))</f>
        <v/>
      </c>
      <c r="D371" s="19" t="n"/>
      <c r="E371" s="19" t="n"/>
      <c r="F371" s="19" t="n"/>
      <c r="G371" s="19" t="n"/>
      <c r="H371" s="19" t="n"/>
      <c r="I371" s="19" t="n"/>
      <c r="J371" s="19" t="n"/>
      <c r="K371" s="20" t="n"/>
      <c r="L371" s="22">
        <f>IF(OR(B371="",K371=""),"",K371-B371)</f>
        <v/>
      </c>
      <c r="M371" s="19" t="n"/>
      <c r="N371" s="19" t="n"/>
      <c r="O371" s="20" t="n"/>
      <c r="P371" s="19" t="n"/>
    </row>
    <row r="372">
      <c r="A372" s="19" t="n"/>
      <c r="B372" s="20" t="n"/>
      <c r="C372" s="21">
        <f>IF(B372="","",DATE(YEAR(B372),MONTH(B372),1))</f>
        <v/>
      </c>
      <c r="D372" s="19" t="n"/>
      <c r="E372" s="19" t="n"/>
      <c r="F372" s="19" t="n"/>
      <c r="G372" s="19" t="n"/>
      <c r="H372" s="19" t="n"/>
      <c r="I372" s="19" t="n"/>
      <c r="J372" s="19" t="n"/>
      <c r="K372" s="20" t="n"/>
      <c r="L372" s="22">
        <f>IF(OR(B372="",K372=""),"",K372-B372)</f>
        <v/>
      </c>
      <c r="M372" s="19" t="n"/>
      <c r="N372" s="19" t="n"/>
      <c r="O372" s="20" t="n"/>
      <c r="P372" s="19" t="n"/>
    </row>
    <row r="373">
      <c r="A373" s="19" t="n"/>
      <c r="B373" s="20" t="n"/>
      <c r="C373" s="21">
        <f>IF(B373="","",DATE(YEAR(B373),MONTH(B373),1))</f>
        <v/>
      </c>
      <c r="D373" s="19" t="n"/>
      <c r="E373" s="19" t="n"/>
      <c r="F373" s="19" t="n"/>
      <c r="G373" s="19" t="n"/>
      <c r="H373" s="19" t="n"/>
      <c r="I373" s="19" t="n"/>
      <c r="J373" s="19" t="n"/>
      <c r="K373" s="20" t="n"/>
      <c r="L373" s="22">
        <f>IF(OR(B373="",K373=""),"",K373-B373)</f>
        <v/>
      </c>
      <c r="M373" s="19" t="n"/>
      <c r="N373" s="19" t="n"/>
      <c r="O373" s="20" t="n"/>
      <c r="P373" s="19" t="n"/>
    </row>
    <row r="374">
      <c r="A374" s="19" t="n"/>
      <c r="B374" s="20" t="n"/>
      <c r="C374" s="21">
        <f>IF(B374="","",DATE(YEAR(B374),MONTH(B374),1))</f>
        <v/>
      </c>
      <c r="D374" s="19" t="n"/>
      <c r="E374" s="19" t="n"/>
      <c r="F374" s="19" t="n"/>
      <c r="G374" s="19" t="n"/>
      <c r="H374" s="19" t="n"/>
      <c r="I374" s="19" t="n"/>
      <c r="J374" s="19" t="n"/>
      <c r="K374" s="20" t="n"/>
      <c r="L374" s="22">
        <f>IF(OR(B374="",K374=""),"",K374-B374)</f>
        <v/>
      </c>
      <c r="M374" s="19" t="n"/>
      <c r="N374" s="19" t="n"/>
      <c r="O374" s="20" t="n"/>
      <c r="P374" s="19" t="n"/>
    </row>
    <row r="375">
      <c r="A375" s="19" t="n"/>
      <c r="B375" s="20" t="n"/>
      <c r="C375" s="21">
        <f>IF(B375="","",DATE(YEAR(B375),MONTH(B375),1))</f>
        <v/>
      </c>
      <c r="D375" s="19" t="n"/>
      <c r="E375" s="19" t="n"/>
      <c r="F375" s="19" t="n"/>
      <c r="G375" s="19" t="n"/>
      <c r="H375" s="19" t="n"/>
      <c r="I375" s="19" t="n"/>
      <c r="J375" s="19" t="n"/>
      <c r="K375" s="20" t="n"/>
      <c r="L375" s="22">
        <f>IF(OR(B375="",K375=""),"",K375-B375)</f>
        <v/>
      </c>
      <c r="M375" s="19" t="n"/>
      <c r="N375" s="19" t="n"/>
      <c r="O375" s="20" t="n"/>
      <c r="P375" s="19" t="n"/>
    </row>
    <row r="376">
      <c r="A376" s="19" t="n"/>
      <c r="B376" s="20" t="n"/>
      <c r="C376" s="21">
        <f>IF(B376="","",DATE(YEAR(B376),MONTH(B376),1))</f>
        <v/>
      </c>
      <c r="D376" s="19" t="n"/>
      <c r="E376" s="19" t="n"/>
      <c r="F376" s="19" t="n"/>
      <c r="G376" s="19" t="n"/>
      <c r="H376" s="19" t="n"/>
      <c r="I376" s="19" t="n"/>
      <c r="J376" s="19" t="n"/>
      <c r="K376" s="20" t="n"/>
      <c r="L376" s="22">
        <f>IF(OR(B376="",K376=""),"",K376-B376)</f>
        <v/>
      </c>
      <c r="M376" s="19" t="n"/>
      <c r="N376" s="19" t="n"/>
      <c r="O376" s="20" t="n"/>
      <c r="P376" s="19" t="n"/>
    </row>
    <row r="377">
      <c r="A377" s="19" t="n"/>
      <c r="B377" s="20" t="n"/>
      <c r="C377" s="21">
        <f>IF(B377="","",DATE(YEAR(B377),MONTH(B377),1))</f>
        <v/>
      </c>
      <c r="D377" s="19" t="n"/>
      <c r="E377" s="19" t="n"/>
      <c r="F377" s="19" t="n"/>
      <c r="G377" s="19" t="n"/>
      <c r="H377" s="19" t="n"/>
      <c r="I377" s="19" t="n"/>
      <c r="J377" s="19" t="n"/>
      <c r="K377" s="20" t="n"/>
      <c r="L377" s="22">
        <f>IF(OR(B377="",K377=""),"",K377-B377)</f>
        <v/>
      </c>
      <c r="M377" s="19" t="n"/>
      <c r="N377" s="19" t="n"/>
      <c r="O377" s="20" t="n"/>
      <c r="P377" s="19" t="n"/>
    </row>
    <row r="378">
      <c r="A378" s="19" t="n"/>
      <c r="B378" s="20" t="n"/>
      <c r="C378" s="21">
        <f>IF(B378="","",DATE(YEAR(B378),MONTH(B378),1))</f>
        <v/>
      </c>
      <c r="D378" s="19" t="n"/>
      <c r="E378" s="19" t="n"/>
      <c r="F378" s="19" t="n"/>
      <c r="G378" s="19" t="n"/>
      <c r="H378" s="19" t="n"/>
      <c r="I378" s="19" t="n"/>
      <c r="J378" s="19" t="n"/>
      <c r="K378" s="20" t="n"/>
      <c r="L378" s="22">
        <f>IF(OR(B378="",K378=""),"",K378-B378)</f>
        <v/>
      </c>
      <c r="M378" s="19" t="n"/>
      <c r="N378" s="19" t="n"/>
      <c r="O378" s="20" t="n"/>
      <c r="P378" s="19" t="n"/>
    </row>
    <row r="379">
      <c r="A379" s="19" t="n"/>
      <c r="B379" s="20" t="n"/>
      <c r="C379" s="21">
        <f>IF(B379="","",DATE(YEAR(B379),MONTH(B379),1))</f>
        <v/>
      </c>
      <c r="D379" s="19" t="n"/>
      <c r="E379" s="19" t="n"/>
      <c r="F379" s="19" t="n"/>
      <c r="G379" s="19" t="n"/>
      <c r="H379" s="19" t="n"/>
      <c r="I379" s="19" t="n"/>
      <c r="J379" s="19" t="n"/>
      <c r="K379" s="20" t="n"/>
      <c r="L379" s="22">
        <f>IF(OR(B379="",K379=""),"",K379-B379)</f>
        <v/>
      </c>
      <c r="M379" s="19" t="n"/>
      <c r="N379" s="19" t="n"/>
      <c r="O379" s="20" t="n"/>
      <c r="P379" s="19" t="n"/>
    </row>
    <row r="380">
      <c r="A380" s="19" t="n"/>
      <c r="B380" s="20" t="n"/>
      <c r="C380" s="21">
        <f>IF(B380="","",DATE(YEAR(B380),MONTH(B380),1))</f>
        <v/>
      </c>
      <c r="D380" s="19" t="n"/>
      <c r="E380" s="19" t="n"/>
      <c r="F380" s="19" t="n"/>
      <c r="G380" s="19" t="n"/>
      <c r="H380" s="19" t="n"/>
      <c r="I380" s="19" t="n"/>
      <c r="J380" s="19" t="n"/>
      <c r="K380" s="20" t="n"/>
      <c r="L380" s="22">
        <f>IF(OR(B380="",K380=""),"",K380-B380)</f>
        <v/>
      </c>
      <c r="M380" s="19" t="n"/>
      <c r="N380" s="19" t="n"/>
      <c r="O380" s="20" t="n"/>
      <c r="P380" s="19" t="n"/>
    </row>
    <row r="381">
      <c r="A381" s="19" t="n"/>
      <c r="B381" s="20" t="n"/>
      <c r="C381" s="21">
        <f>IF(B381="","",DATE(YEAR(B381),MONTH(B381),1))</f>
        <v/>
      </c>
      <c r="D381" s="19" t="n"/>
      <c r="E381" s="19" t="n"/>
      <c r="F381" s="19" t="n"/>
      <c r="G381" s="19" t="n"/>
      <c r="H381" s="19" t="n"/>
      <c r="I381" s="19" t="n"/>
      <c r="J381" s="19" t="n"/>
      <c r="K381" s="20" t="n"/>
      <c r="L381" s="22">
        <f>IF(OR(B381="",K381=""),"",K381-B381)</f>
        <v/>
      </c>
      <c r="M381" s="19" t="n"/>
      <c r="N381" s="19" t="n"/>
      <c r="O381" s="20" t="n"/>
      <c r="P381" s="19" t="n"/>
    </row>
    <row r="382">
      <c r="A382" s="19" t="n"/>
      <c r="B382" s="20" t="n"/>
      <c r="C382" s="21">
        <f>IF(B382="","",DATE(YEAR(B382),MONTH(B382),1))</f>
        <v/>
      </c>
      <c r="D382" s="19" t="n"/>
      <c r="E382" s="19" t="n"/>
      <c r="F382" s="19" t="n"/>
      <c r="G382" s="19" t="n"/>
      <c r="H382" s="19" t="n"/>
      <c r="I382" s="19" t="n"/>
      <c r="J382" s="19" t="n"/>
      <c r="K382" s="20" t="n"/>
      <c r="L382" s="22">
        <f>IF(OR(B382="",K382=""),"",K382-B382)</f>
        <v/>
      </c>
      <c r="M382" s="19" t="n"/>
      <c r="N382" s="19" t="n"/>
      <c r="O382" s="20" t="n"/>
      <c r="P382" s="19" t="n"/>
    </row>
    <row r="383">
      <c r="A383" s="19" t="n"/>
      <c r="B383" s="20" t="n"/>
      <c r="C383" s="21">
        <f>IF(B383="","",DATE(YEAR(B383),MONTH(B383),1))</f>
        <v/>
      </c>
      <c r="D383" s="19" t="n"/>
      <c r="E383" s="19" t="n"/>
      <c r="F383" s="19" t="n"/>
      <c r="G383" s="19" t="n"/>
      <c r="H383" s="19" t="n"/>
      <c r="I383" s="19" t="n"/>
      <c r="J383" s="19" t="n"/>
      <c r="K383" s="20" t="n"/>
      <c r="L383" s="22">
        <f>IF(OR(B383="",K383=""),"",K383-B383)</f>
        <v/>
      </c>
      <c r="M383" s="19" t="n"/>
      <c r="N383" s="19" t="n"/>
      <c r="O383" s="20" t="n"/>
      <c r="P383" s="19" t="n"/>
    </row>
    <row r="384">
      <c r="A384" s="19" t="n"/>
      <c r="B384" s="20" t="n"/>
      <c r="C384" s="21">
        <f>IF(B384="","",DATE(YEAR(B384),MONTH(B384),1))</f>
        <v/>
      </c>
      <c r="D384" s="19" t="n"/>
      <c r="E384" s="19" t="n"/>
      <c r="F384" s="19" t="n"/>
      <c r="G384" s="19" t="n"/>
      <c r="H384" s="19" t="n"/>
      <c r="I384" s="19" t="n"/>
      <c r="J384" s="19" t="n"/>
      <c r="K384" s="20" t="n"/>
      <c r="L384" s="22">
        <f>IF(OR(B384="",K384=""),"",K384-B384)</f>
        <v/>
      </c>
      <c r="M384" s="19" t="n"/>
      <c r="N384" s="19" t="n"/>
      <c r="O384" s="20" t="n"/>
      <c r="P384" s="19" t="n"/>
    </row>
    <row r="385">
      <c r="A385" s="19" t="n"/>
      <c r="B385" s="20" t="n"/>
      <c r="C385" s="21">
        <f>IF(B385="","",DATE(YEAR(B385),MONTH(B385),1))</f>
        <v/>
      </c>
      <c r="D385" s="19" t="n"/>
      <c r="E385" s="19" t="n"/>
      <c r="F385" s="19" t="n"/>
      <c r="G385" s="19" t="n"/>
      <c r="H385" s="19" t="n"/>
      <c r="I385" s="19" t="n"/>
      <c r="J385" s="19" t="n"/>
      <c r="K385" s="20" t="n"/>
      <c r="L385" s="22">
        <f>IF(OR(B385="",K385=""),"",K385-B385)</f>
        <v/>
      </c>
      <c r="M385" s="19" t="n"/>
      <c r="N385" s="19" t="n"/>
      <c r="O385" s="20" t="n"/>
      <c r="P385" s="19" t="n"/>
    </row>
    <row r="386">
      <c r="A386" s="19" t="n"/>
      <c r="B386" s="20" t="n"/>
      <c r="C386" s="21">
        <f>IF(B386="","",DATE(YEAR(B386),MONTH(B386),1))</f>
        <v/>
      </c>
      <c r="D386" s="19" t="n"/>
      <c r="E386" s="19" t="n"/>
      <c r="F386" s="19" t="n"/>
      <c r="G386" s="19" t="n"/>
      <c r="H386" s="19" t="n"/>
      <c r="I386" s="19" t="n"/>
      <c r="J386" s="19" t="n"/>
      <c r="K386" s="20" t="n"/>
      <c r="L386" s="22">
        <f>IF(OR(B386="",K386=""),"",K386-B386)</f>
        <v/>
      </c>
      <c r="M386" s="19" t="n"/>
      <c r="N386" s="19" t="n"/>
      <c r="O386" s="20" t="n"/>
      <c r="P386" s="19" t="n"/>
    </row>
    <row r="387">
      <c r="A387" s="19" t="n"/>
      <c r="B387" s="20" t="n"/>
      <c r="C387" s="21">
        <f>IF(B387="","",DATE(YEAR(B387),MONTH(B387),1))</f>
        <v/>
      </c>
      <c r="D387" s="19" t="n"/>
      <c r="E387" s="19" t="n"/>
      <c r="F387" s="19" t="n"/>
      <c r="G387" s="19" t="n"/>
      <c r="H387" s="19" t="n"/>
      <c r="I387" s="19" t="n"/>
      <c r="J387" s="19" t="n"/>
      <c r="K387" s="20" t="n"/>
      <c r="L387" s="22">
        <f>IF(OR(B387="",K387=""),"",K387-B387)</f>
        <v/>
      </c>
      <c r="M387" s="19" t="n"/>
      <c r="N387" s="19" t="n"/>
      <c r="O387" s="20" t="n"/>
      <c r="P387" s="19" t="n"/>
    </row>
    <row r="388">
      <c r="A388" s="19" t="n"/>
      <c r="B388" s="20" t="n"/>
      <c r="C388" s="21">
        <f>IF(B388="","",DATE(YEAR(B388),MONTH(B388),1))</f>
        <v/>
      </c>
      <c r="D388" s="19" t="n"/>
      <c r="E388" s="19" t="n"/>
      <c r="F388" s="19" t="n"/>
      <c r="G388" s="19" t="n"/>
      <c r="H388" s="19" t="n"/>
      <c r="I388" s="19" t="n"/>
      <c r="J388" s="19" t="n"/>
      <c r="K388" s="20" t="n"/>
      <c r="L388" s="22">
        <f>IF(OR(B388="",K388=""),"",K388-B388)</f>
        <v/>
      </c>
      <c r="M388" s="19" t="n"/>
      <c r="N388" s="19" t="n"/>
      <c r="O388" s="20" t="n"/>
      <c r="P388" s="19" t="n"/>
    </row>
    <row r="389">
      <c r="A389" s="19" t="n"/>
      <c r="B389" s="20" t="n"/>
      <c r="C389" s="21">
        <f>IF(B389="","",DATE(YEAR(B389),MONTH(B389),1))</f>
        <v/>
      </c>
      <c r="D389" s="19" t="n"/>
      <c r="E389" s="19" t="n"/>
      <c r="F389" s="19" t="n"/>
      <c r="G389" s="19" t="n"/>
      <c r="H389" s="19" t="n"/>
      <c r="I389" s="19" t="n"/>
      <c r="J389" s="19" t="n"/>
      <c r="K389" s="20" t="n"/>
      <c r="L389" s="22">
        <f>IF(OR(B389="",K389=""),"",K389-B389)</f>
        <v/>
      </c>
      <c r="M389" s="19" t="n"/>
      <c r="N389" s="19" t="n"/>
      <c r="O389" s="20" t="n"/>
      <c r="P389" s="19" t="n"/>
    </row>
    <row r="390">
      <c r="A390" s="19" t="n"/>
      <c r="B390" s="20" t="n"/>
      <c r="C390" s="21">
        <f>IF(B390="","",DATE(YEAR(B390),MONTH(B390),1))</f>
        <v/>
      </c>
      <c r="D390" s="19" t="n"/>
      <c r="E390" s="19" t="n"/>
      <c r="F390" s="19" t="n"/>
      <c r="G390" s="19" t="n"/>
      <c r="H390" s="19" t="n"/>
      <c r="I390" s="19" t="n"/>
      <c r="J390" s="19" t="n"/>
      <c r="K390" s="20" t="n"/>
      <c r="L390" s="22">
        <f>IF(OR(B390="",K390=""),"",K390-B390)</f>
        <v/>
      </c>
      <c r="M390" s="19" t="n"/>
      <c r="N390" s="19" t="n"/>
      <c r="O390" s="20" t="n"/>
      <c r="P390" s="19" t="n"/>
    </row>
    <row r="391">
      <c r="A391" s="19" t="n"/>
      <c r="B391" s="20" t="n"/>
      <c r="C391" s="21">
        <f>IF(B391="","",DATE(YEAR(B391),MONTH(B391),1))</f>
        <v/>
      </c>
      <c r="D391" s="19" t="n"/>
      <c r="E391" s="19" t="n"/>
      <c r="F391" s="19" t="n"/>
      <c r="G391" s="19" t="n"/>
      <c r="H391" s="19" t="n"/>
      <c r="I391" s="19" t="n"/>
      <c r="J391" s="19" t="n"/>
      <c r="K391" s="20" t="n"/>
      <c r="L391" s="22">
        <f>IF(OR(B391="",K391=""),"",K391-B391)</f>
        <v/>
      </c>
      <c r="M391" s="19" t="n"/>
      <c r="N391" s="19" t="n"/>
      <c r="O391" s="20" t="n"/>
      <c r="P391" s="19" t="n"/>
    </row>
    <row r="392">
      <c r="A392" s="19" t="n"/>
      <c r="B392" s="20" t="n"/>
      <c r="C392" s="21">
        <f>IF(B392="","",DATE(YEAR(B392),MONTH(B392),1))</f>
        <v/>
      </c>
      <c r="D392" s="19" t="n"/>
      <c r="E392" s="19" t="n"/>
      <c r="F392" s="19" t="n"/>
      <c r="G392" s="19" t="n"/>
      <c r="H392" s="19" t="n"/>
      <c r="I392" s="19" t="n"/>
      <c r="J392" s="19" t="n"/>
      <c r="K392" s="20" t="n"/>
      <c r="L392" s="22">
        <f>IF(OR(B392="",K392=""),"",K392-B392)</f>
        <v/>
      </c>
      <c r="M392" s="19" t="n"/>
      <c r="N392" s="19" t="n"/>
      <c r="O392" s="20" t="n"/>
      <c r="P392" s="19" t="n"/>
    </row>
    <row r="393">
      <c r="A393" s="19" t="n"/>
      <c r="B393" s="20" t="n"/>
      <c r="C393" s="21">
        <f>IF(B393="","",DATE(YEAR(B393),MONTH(B393),1))</f>
        <v/>
      </c>
      <c r="D393" s="19" t="n"/>
      <c r="E393" s="19" t="n"/>
      <c r="F393" s="19" t="n"/>
      <c r="G393" s="19" t="n"/>
      <c r="H393" s="19" t="n"/>
      <c r="I393" s="19" t="n"/>
      <c r="J393" s="19" t="n"/>
      <c r="K393" s="20" t="n"/>
      <c r="L393" s="22">
        <f>IF(OR(B393="",K393=""),"",K393-B393)</f>
        <v/>
      </c>
      <c r="M393" s="19" t="n"/>
      <c r="N393" s="19" t="n"/>
      <c r="O393" s="20" t="n"/>
      <c r="P393" s="19" t="n"/>
    </row>
    <row r="394">
      <c r="A394" s="19" t="n"/>
      <c r="B394" s="20" t="n"/>
      <c r="C394" s="21">
        <f>IF(B394="","",DATE(YEAR(B394),MONTH(B394),1))</f>
        <v/>
      </c>
      <c r="D394" s="19" t="n"/>
      <c r="E394" s="19" t="n"/>
      <c r="F394" s="19" t="n"/>
      <c r="G394" s="19" t="n"/>
      <c r="H394" s="19" t="n"/>
      <c r="I394" s="19" t="n"/>
      <c r="J394" s="19" t="n"/>
      <c r="K394" s="20" t="n"/>
      <c r="L394" s="22">
        <f>IF(OR(B394="",K394=""),"",K394-B394)</f>
        <v/>
      </c>
      <c r="M394" s="19" t="n"/>
      <c r="N394" s="19" t="n"/>
      <c r="O394" s="20" t="n"/>
      <c r="P394" s="19" t="n"/>
    </row>
    <row r="395">
      <c r="A395" s="19" t="n"/>
      <c r="B395" s="20" t="n"/>
      <c r="C395" s="21">
        <f>IF(B395="","",DATE(YEAR(B395),MONTH(B395),1))</f>
        <v/>
      </c>
      <c r="D395" s="19" t="n"/>
      <c r="E395" s="19" t="n"/>
      <c r="F395" s="19" t="n"/>
      <c r="G395" s="19" t="n"/>
      <c r="H395" s="19" t="n"/>
      <c r="I395" s="19" t="n"/>
      <c r="J395" s="19" t="n"/>
      <c r="K395" s="20" t="n"/>
      <c r="L395" s="22">
        <f>IF(OR(B395="",K395=""),"",K395-B395)</f>
        <v/>
      </c>
      <c r="M395" s="19" t="n"/>
      <c r="N395" s="19" t="n"/>
      <c r="O395" s="20" t="n"/>
      <c r="P395" s="19" t="n"/>
    </row>
    <row r="396">
      <c r="A396" s="19" t="n"/>
      <c r="B396" s="20" t="n"/>
      <c r="C396" s="21">
        <f>IF(B396="","",DATE(YEAR(B396),MONTH(B396),1))</f>
        <v/>
      </c>
      <c r="D396" s="19" t="n"/>
      <c r="E396" s="19" t="n"/>
      <c r="F396" s="19" t="n"/>
      <c r="G396" s="19" t="n"/>
      <c r="H396" s="19" t="n"/>
      <c r="I396" s="19" t="n"/>
      <c r="J396" s="19" t="n"/>
      <c r="K396" s="20" t="n"/>
      <c r="L396" s="22">
        <f>IF(OR(B396="",K396=""),"",K396-B396)</f>
        <v/>
      </c>
      <c r="M396" s="19" t="n"/>
      <c r="N396" s="19" t="n"/>
      <c r="O396" s="20" t="n"/>
      <c r="P396" s="19" t="n"/>
    </row>
    <row r="397">
      <c r="A397" s="19" t="n"/>
      <c r="B397" s="20" t="n"/>
      <c r="C397" s="21">
        <f>IF(B397="","",DATE(YEAR(B397),MONTH(B397),1))</f>
        <v/>
      </c>
      <c r="D397" s="19" t="n"/>
      <c r="E397" s="19" t="n"/>
      <c r="F397" s="19" t="n"/>
      <c r="G397" s="19" t="n"/>
      <c r="H397" s="19" t="n"/>
      <c r="I397" s="19" t="n"/>
      <c r="J397" s="19" t="n"/>
      <c r="K397" s="20" t="n"/>
      <c r="L397" s="22">
        <f>IF(OR(B397="",K397=""),"",K397-B397)</f>
        <v/>
      </c>
      <c r="M397" s="19" t="n"/>
      <c r="N397" s="19" t="n"/>
      <c r="O397" s="20" t="n"/>
      <c r="P397" s="19" t="n"/>
    </row>
    <row r="398">
      <c r="A398" s="19" t="n"/>
      <c r="B398" s="20" t="n"/>
      <c r="C398" s="21">
        <f>IF(B398="","",DATE(YEAR(B398),MONTH(B398),1))</f>
        <v/>
      </c>
      <c r="D398" s="19" t="n"/>
      <c r="E398" s="19" t="n"/>
      <c r="F398" s="19" t="n"/>
      <c r="G398" s="19" t="n"/>
      <c r="H398" s="19" t="n"/>
      <c r="I398" s="19" t="n"/>
      <c r="J398" s="19" t="n"/>
      <c r="K398" s="20" t="n"/>
      <c r="L398" s="22">
        <f>IF(OR(B398="",K398=""),"",K398-B398)</f>
        <v/>
      </c>
      <c r="M398" s="19" t="n"/>
      <c r="N398" s="19" t="n"/>
      <c r="O398" s="20" t="n"/>
      <c r="P398" s="19" t="n"/>
    </row>
    <row r="399">
      <c r="A399" s="19" t="n"/>
      <c r="B399" s="20" t="n"/>
      <c r="C399" s="21">
        <f>IF(B399="","",DATE(YEAR(B399),MONTH(B399),1))</f>
        <v/>
      </c>
      <c r="D399" s="19" t="n"/>
      <c r="E399" s="19" t="n"/>
      <c r="F399" s="19" t="n"/>
      <c r="G399" s="19" t="n"/>
      <c r="H399" s="19" t="n"/>
      <c r="I399" s="19" t="n"/>
      <c r="J399" s="19" t="n"/>
      <c r="K399" s="20" t="n"/>
      <c r="L399" s="22">
        <f>IF(OR(B399="",K399=""),"",K399-B399)</f>
        <v/>
      </c>
      <c r="M399" s="19" t="n"/>
      <c r="N399" s="19" t="n"/>
      <c r="O399" s="20" t="n"/>
      <c r="P399" s="19" t="n"/>
    </row>
    <row r="400">
      <c r="A400" s="19" t="n"/>
      <c r="B400" s="20" t="n"/>
      <c r="C400" s="21">
        <f>IF(B400="","",DATE(YEAR(B400),MONTH(B400),1))</f>
        <v/>
      </c>
      <c r="D400" s="19" t="n"/>
      <c r="E400" s="19" t="n"/>
      <c r="F400" s="19" t="n"/>
      <c r="G400" s="19" t="n"/>
      <c r="H400" s="19" t="n"/>
      <c r="I400" s="19" t="n"/>
      <c r="J400" s="19" t="n"/>
      <c r="K400" s="20" t="n"/>
      <c r="L400" s="22">
        <f>IF(OR(B400="",K400=""),"",K400-B400)</f>
        <v/>
      </c>
      <c r="M400" s="19" t="n"/>
      <c r="N400" s="19" t="n"/>
      <c r="O400" s="20" t="n"/>
      <c r="P400" s="19" t="n"/>
    </row>
    <row r="401">
      <c r="A401" s="19" t="n"/>
      <c r="B401" s="20" t="n"/>
      <c r="C401" s="21">
        <f>IF(B401="","",DATE(YEAR(B401),MONTH(B401),1))</f>
        <v/>
      </c>
      <c r="D401" s="19" t="n"/>
      <c r="E401" s="19" t="n"/>
      <c r="F401" s="19" t="n"/>
      <c r="G401" s="19" t="n"/>
      <c r="H401" s="19" t="n"/>
      <c r="I401" s="19" t="n"/>
      <c r="J401" s="19" t="n"/>
      <c r="K401" s="20" t="n"/>
      <c r="L401" s="22">
        <f>IF(OR(B401="",K401=""),"",K401-B401)</f>
        <v/>
      </c>
      <c r="M401" s="19" t="n"/>
      <c r="N401" s="19" t="n"/>
      <c r="O401" s="20" t="n"/>
      <c r="P401" s="19" t="n"/>
    </row>
    <row r="402">
      <c r="A402" s="19" t="n"/>
      <c r="B402" s="20" t="n"/>
      <c r="C402" s="21">
        <f>IF(B402="","",DATE(YEAR(B402),MONTH(B402),1))</f>
        <v/>
      </c>
      <c r="D402" s="19" t="n"/>
      <c r="E402" s="19" t="n"/>
      <c r="F402" s="19" t="n"/>
      <c r="G402" s="19" t="n"/>
      <c r="H402" s="19" t="n"/>
      <c r="I402" s="19" t="n"/>
      <c r="J402" s="19" t="n"/>
      <c r="K402" s="20" t="n"/>
      <c r="L402" s="22">
        <f>IF(OR(B402="",K402=""),"",K402-B402)</f>
        <v/>
      </c>
      <c r="M402" s="19" t="n"/>
      <c r="N402" s="19" t="n"/>
      <c r="O402" s="20" t="n"/>
      <c r="P402" s="19" t="n"/>
    </row>
    <row r="403">
      <c r="A403" s="19" t="n"/>
      <c r="B403" s="20" t="n"/>
      <c r="C403" s="21">
        <f>IF(B403="","",DATE(YEAR(B403),MONTH(B403),1))</f>
        <v/>
      </c>
      <c r="D403" s="19" t="n"/>
      <c r="E403" s="19" t="n"/>
      <c r="F403" s="19" t="n"/>
      <c r="G403" s="19" t="n"/>
      <c r="H403" s="19" t="n"/>
      <c r="I403" s="19" t="n"/>
      <c r="J403" s="19" t="n"/>
      <c r="K403" s="20" t="n"/>
      <c r="L403" s="22">
        <f>IF(OR(B403="",K403=""),"",K403-B403)</f>
        <v/>
      </c>
      <c r="M403" s="19" t="n"/>
      <c r="N403" s="19" t="n"/>
      <c r="O403" s="20" t="n"/>
      <c r="P403" s="19" t="n"/>
    </row>
    <row r="404">
      <c r="A404" s="19" t="n"/>
      <c r="B404" s="20" t="n"/>
      <c r="C404" s="21">
        <f>IF(B404="","",DATE(YEAR(B404),MONTH(B404),1))</f>
        <v/>
      </c>
      <c r="D404" s="19" t="n"/>
      <c r="E404" s="19" t="n"/>
      <c r="F404" s="19" t="n"/>
      <c r="G404" s="19" t="n"/>
      <c r="H404" s="19" t="n"/>
      <c r="I404" s="19" t="n"/>
      <c r="J404" s="19" t="n"/>
      <c r="K404" s="20" t="n"/>
      <c r="L404" s="22">
        <f>IF(OR(B404="",K404=""),"",K404-B404)</f>
        <v/>
      </c>
      <c r="M404" s="19" t="n"/>
      <c r="N404" s="19" t="n"/>
      <c r="O404" s="20" t="n"/>
      <c r="P404" s="19" t="n"/>
    </row>
    <row r="405">
      <c r="A405" s="19" t="n"/>
      <c r="B405" s="20" t="n"/>
      <c r="C405" s="21">
        <f>IF(B405="","",DATE(YEAR(B405),MONTH(B405),1))</f>
        <v/>
      </c>
      <c r="D405" s="19" t="n"/>
      <c r="E405" s="19" t="n"/>
      <c r="F405" s="19" t="n"/>
      <c r="G405" s="19" t="n"/>
      <c r="H405" s="19" t="n"/>
      <c r="I405" s="19" t="n"/>
      <c r="J405" s="19" t="n"/>
      <c r="K405" s="20" t="n"/>
      <c r="L405" s="22">
        <f>IF(OR(B405="",K405=""),"",K405-B405)</f>
        <v/>
      </c>
      <c r="M405" s="19" t="n"/>
      <c r="N405" s="19" t="n"/>
      <c r="O405" s="20" t="n"/>
      <c r="P405" s="19" t="n"/>
    </row>
    <row r="406">
      <c r="A406" s="19" t="n"/>
      <c r="B406" s="20" t="n"/>
      <c r="C406" s="21">
        <f>IF(B406="","",DATE(YEAR(B406),MONTH(B406),1))</f>
        <v/>
      </c>
      <c r="D406" s="19" t="n"/>
      <c r="E406" s="19" t="n"/>
      <c r="F406" s="19" t="n"/>
      <c r="G406" s="19" t="n"/>
      <c r="H406" s="19" t="n"/>
      <c r="I406" s="19" t="n"/>
      <c r="J406" s="19" t="n"/>
      <c r="K406" s="20" t="n"/>
      <c r="L406" s="22">
        <f>IF(OR(B406="",K406=""),"",K406-B406)</f>
        <v/>
      </c>
      <c r="M406" s="19" t="n"/>
      <c r="N406" s="19" t="n"/>
      <c r="O406" s="20" t="n"/>
      <c r="P406" s="19" t="n"/>
    </row>
    <row r="407">
      <c r="A407" s="19" t="n"/>
      <c r="B407" s="20" t="n"/>
      <c r="C407" s="21">
        <f>IF(B407="","",DATE(YEAR(B407),MONTH(B407),1))</f>
        <v/>
      </c>
      <c r="D407" s="19" t="n"/>
      <c r="E407" s="19" t="n"/>
      <c r="F407" s="19" t="n"/>
      <c r="G407" s="19" t="n"/>
      <c r="H407" s="19" t="n"/>
      <c r="I407" s="19" t="n"/>
      <c r="J407" s="19" t="n"/>
      <c r="K407" s="20" t="n"/>
      <c r="L407" s="22">
        <f>IF(OR(B407="",K407=""),"",K407-B407)</f>
        <v/>
      </c>
      <c r="M407" s="19" t="n"/>
      <c r="N407" s="19" t="n"/>
      <c r="O407" s="20" t="n"/>
      <c r="P407" s="19" t="n"/>
    </row>
    <row r="408">
      <c r="A408" s="19" t="n"/>
      <c r="B408" s="20" t="n"/>
      <c r="C408" s="21">
        <f>IF(B408="","",DATE(YEAR(B408),MONTH(B408),1))</f>
        <v/>
      </c>
      <c r="D408" s="19" t="n"/>
      <c r="E408" s="19" t="n"/>
      <c r="F408" s="19" t="n"/>
      <c r="G408" s="19" t="n"/>
      <c r="H408" s="19" t="n"/>
      <c r="I408" s="19" t="n"/>
      <c r="J408" s="19" t="n"/>
      <c r="K408" s="20" t="n"/>
      <c r="L408" s="22">
        <f>IF(OR(B408="",K408=""),"",K408-B408)</f>
        <v/>
      </c>
      <c r="M408" s="19" t="n"/>
      <c r="N408" s="19" t="n"/>
      <c r="O408" s="20" t="n"/>
      <c r="P408" s="19" t="n"/>
    </row>
    <row r="409">
      <c r="A409" s="19" t="n"/>
      <c r="B409" s="20" t="n"/>
      <c r="C409" s="21">
        <f>IF(B409="","",DATE(YEAR(B409),MONTH(B409),1))</f>
        <v/>
      </c>
      <c r="D409" s="19" t="n"/>
      <c r="E409" s="19" t="n"/>
      <c r="F409" s="19" t="n"/>
      <c r="G409" s="19" t="n"/>
      <c r="H409" s="19" t="n"/>
      <c r="I409" s="19" t="n"/>
      <c r="J409" s="19" t="n"/>
      <c r="K409" s="20" t="n"/>
      <c r="L409" s="22">
        <f>IF(OR(B409="",K409=""),"",K409-B409)</f>
        <v/>
      </c>
      <c r="M409" s="19" t="n"/>
      <c r="N409" s="19" t="n"/>
      <c r="O409" s="20" t="n"/>
      <c r="P409" s="19" t="n"/>
    </row>
    <row r="410">
      <c r="A410" s="19" t="n"/>
      <c r="B410" s="20" t="n"/>
      <c r="C410" s="21">
        <f>IF(B410="","",DATE(YEAR(B410),MONTH(B410),1))</f>
        <v/>
      </c>
      <c r="D410" s="19" t="n"/>
      <c r="E410" s="19" t="n"/>
      <c r="F410" s="19" t="n"/>
      <c r="G410" s="19" t="n"/>
      <c r="H410" s="19" t="n"/>
      <c r="I410" s="19" t="n"/>
      <c r="J410" s="19" t="n"/>
      <c r="K410" s="20" t="n"/>
      <c r="L410" s="22">
        <f>IF(OR(B410="",K410=""),"",K410-B410)</f>
        <v/>
      </c>
      <c r="M410" s="19" t="n"/>
      <c r="N410" s="19" t="n"/>
      <c r="O410" s="20" t="n"/>
      <c r="P410" s="19" t="n"/>
    </row>
    <row r="411">
      <c r="A411" s="19" t="n"/>
      <c r="B411" s="20" t="n"/>
      <c r="C411" s="21">
        <f>IF(B411="","",DATE(YEAR(B411),MONTH(B411),1))</f>
        <v/>
      </c>
      <c r="D411" s="19" t="n"/>
      <c r="E411" s="19" t="n"/>
      <c r="F411" s="19" t="n"/>
      <c r="G411" s="19" t="n"/>
      <c r="H411" s="19" t="n"/>
      <c r="I411" s="19" t="n"/>
      <c r="J411" s="19" t="n"/>
      <c r="K411" s="20" t="n"/>
      <c r="L411" s="22">
        <f>IF(OR(B411="",K411=""),"",K411-B411)</f>
        <v/>
      </c>
      <c r="M411" s="19" t="n"/>
      <c r="N411" s="19" t="n"/>
      <c r="O411" s="20" t="n"/>
      <c r="P411" s="19" t="n"/>
    </row>
    <row r="412">
      <c r="A412" s="19" t="n"/>
      <c r="B412" s="20" t="n"/>
      <c r="C412" s="21">
        <f>IF(B412="","",DATE(YEAR(B412),MONTH(B412),1))</f>
        <v/>
      </c>
      <c r="D412" s="19" t="n"/>
      <c r="E412" s="19" t="n"/>
      <c r="F412" s="19" t="n"/>
      <c r="G412" s="19" t="n"/>
      <c r="H412" s="19" t="n"/>
      <c r="I412" s="19" t="n"/>
      <c r="J412" s="19" t="n"/>
      <c r="K412" s="20" t="n"/>
      <c r="L412" s="22">
        <f>IF(OR(B412="",K412=""),"",K412-B412)</f>
        <v/>
      </c>
      <c r="M412" s="19" t="n"/>
      <c r="N412" s="19" t="n"/>
      <c r="O412" s="20" t="n"/>
      <c r="P412" s="19" t="n"/>
    </row>
    <row r="413">
      <c r="A413" s="19" t="n"/>
      <c r="B413" s="20" t="n"/>
      <c r="C413" s="21">
        <f>IF(B413="","",DATE(YEAR(B413),MONTH(B413),1))</f>
        <v/>
      </c>
      <c r="D413" s="19" t="n"/>
      <c r="E413" s="19" t="n"/>
      <c r="F413" s="19" t="n"/>
      <c r="G413" s="19" t="n"/>
      <c r="H413" s="19" t="n"/>
      <c r="I413" s="19" t="n"/>
      <c r="J413" s="19" t="n"/>
      <c r="K413" s="20" t="n"/>
      <c r="L413" s="22">
        <f>IF(OR(B413="",K413=""),"",K413-B413)</f>
        <v/>
      </c>
      <c r="M413" s="19" t="n"/>
      <c r="N413" s="19" t="n"/>
      <c r="O413" s="20" t="n"/>
      <c r="P413" s="19" t="n"/>
    </row>
    <row r="414">
      <c r="A414" s="19" t="n"/>
      <c r="B414" s="20" t="n"/>
      <c r="C414" s="21">
        <f>IF(B414="","",DATE(YEAR(B414),MONTH(B414),1))</f>
        <v/>
      </c>
      <c r="D414" s="19" t="n"/>
      <c r="E414" s="19" t="n"/>
      <c r="F414" s="19" t="n"/>
      <c r="G414" s="19" t="n"/>
      <c r="H414" s="19" t="n"/>
      <c r="I414" s="19" t="n"/>
      <c r="J414" s="19" t="n"/>
      <c r="K414" s="20" t="n"/>
      <c r="L414" s="22">
        <f>IF(OR(B414="",K414=""),"",K414-B414)</f>
        <v/>
      </c>
      <c r="M414" s="19" t="n"/>
      <c r="N414" s="19" t="n"/>
      <c r="O414" s="20" t="n"/>
      <c r="P414" s="19" t="n"/>
    </row>
    <row r="415">
      <c r="A415" s="19" t="n"/>
      <c r="B415" s="20" t="n"/>
      <c r="C415" s="21">
        <f>IF(B415="","",DATE(YEAR(B415),MONTH(B415),1))</f>
        <v/>
      </c>
      <c r="D415" s="19" t="n"/>
      <c r="E415" s="19" t="n"/>
      <c r="F415" s="19" t="n"/>
      <c r="G415" s="19" t="n"/>
      <c r="H415" s="19" t="n"/>
      <c r="I415" s="19" t="n"/>
      <c r="J415" s="19" t="n"/>
      <c r="K415" s="20" t="n"/>
      <c r="L415" s="22">
        <f>IF(OR(B415="",K415=""),"",K415-B415)</f>
        <v/>
      </c>
      <c r="M415" s="19" t="n"/>
      <c r="N415" s="19" t="n"/>
      <c r="O415" s="20" t="n"/>
      <c r="P415" s="19" t="n"/>
    </row>
    <row r="416">
      <c r="A416" s="19" t="n"/>
      <c r="B416" s="20" t="n"/>
      <c r="C416" s="21">
        <f>IF(B416="","",DATE(YEAR(B416),MONTH(B416),1))</f>
        <v/>
      </c>
      <c r="D416" s="19" t="n"/>
      <c r="E416" s="19" t="n"/>
      <c r="F416" s="19" t="n"/>
      <c r="G416" s="19" t="n"/>
      <c r="H416" s="19" t="n"/>
      <c r="I416" s="19" t="n"/>
      <c r="J416" s="19" t="n"/>
      <c r="K416" s="20" t="n"/>
      <c r="L416" s="22">
        <f>IF(OR(B416="",K416=""),"",K416-B416)</f>
        <v/>
      </c>
      <c r="M416" s="19" t="n"/>
      <c r="N416" s="19" t="n"/>
      <c r="O416" s="20" t="n"/>
      <c r="P416" s="19" t="n"/>
    </row>
    <row r="417">
      <c r="A417" s="19" t="n"/>
      <c r="B417" s="20" t="n"/>
      <c r="C417" s="21">
        <f>IF(B417="","",DATE(YEAR(B417),MONTH(B417),1))</f>
        <v/>
      </c>
      <c r="D417" s="19" t="n"/>
      <c r="E417" s="19" t="n"/>
      <c r="F417" s="19" t="n"/>
      <c r="G417" s="19" t="n"/>
      <c r="H417" s="19" t="n"/>
      <c r="I417" s="19" t="n"/>
      <c r="J417" s="19" t="n"/>
      <c r="K417" s="20" t="n"/>
      <c r="L417" s="22">
        <f>IF(OR(B417="",K417=""),"",K417-B417)</f>
        <v/>
      </c>
      <c r="M417" s="19" t="n"/>
      <c r="N417" s="19" t="n"/>
      <c r="O417" s="20" t="n"/>
      <c r="P417" s="19" t="n"/>
    </row>
    <row r="418">
      <c r="A418" s="19" t="n"/>
      <c r="B418" s="20" t="n"/>
      <c r="C418" s="21">
        <f>IF(B418="","",DATE(YEAR(B418),MONTH(B418),1))</f>
        <v/>
      </c>
      <c r="D418" s="19" t="n"/>
      <c r="E418" s="19" t="n"/>
      <c r="F418" s="19" t="n"/>
      <c r="G418" s="19" t="n"/>
      <c r="H418" s="19" t="n"/>
      <c r="I418" s="19" t="n"/>
      <c r="J418" s="19" t="n"/>
      <c r="K418" s="20" t="n"/>
      <c r="L418" s="22">
        <f>IF(OR(B418="",K418=""),"",K418-B418)</f>
        <v/>
      </c>
      <c r="M418" s="19" t="n"/>
      <c r="N418" s="19" t="n"/>
      <c r="O418" s="20" t="n"/>
      <c r="P418" s="19" t="n"/>
    </row>
    <row r="419">
      <c r="A419" s="19" t="n"/>
      <c r="B419" s="20" t="n"/>
      <c r="C419" s="21">
        <f>IF(B419="","",DATE(YEAR(B419),MONTH(B419),1))</f>
        <v/>
      </c>
      <c r="D419" s="19" t="n"/>
      <c r="E419" s="19" t="n"/>
      <c r="F419" s="19" t="n"/>
      <c r="G419" s="19" t="n"/>
      <c r="H419" s="19" t="n"/>
      <c r="I419" s="19" t="n"/>
      <c r="J419" s="19" t="n"/>
      <c r="K419" s="20" t="n"/>
      <c r="L419" s="22">
        <f>IF(OR(B419="",K419=""),"",K419-B419)</f>
        <v/>
      </c>
      <c r="M419" s="19" t="n"/>
      <c r="N419" s="19" t="n"/>
      <c r="O419" s="20" t="n"/>
      <c r="P419" s="19" t="n"/>
    </row>
    <row r="420">
      <c r="A420" s="19" t="n"/>
      <c r="B420" s="20" t="n"/>
      <c r="C420" s="21">
        <f>IF(B420="","",DATE(YEAR(B420),MONTH(B420),1))</f>
        <v/>
      </c>
      <c r="D420" s="19" t="n"/>
      <c r="E420" s="19" t="n"/>
      <c r="F420" s="19" t="n"/>
      <c r="G420" s="19" t="n"/>
      <c r="H420" s="19" t="n"/>
      <c r="I420" s="19" t="n"/>
      <c r="J420" s="19" t="n"/>
      <c r="K420" s="20" t="n"/>
      <c r="L420" s="22">
        <f>IF(OR(B420="",K420=""),"",K420-B420)</f>
        <v/>
      </c>
      <c r="M420" s="19" t="n"/>
      <c r="N420" s="19" t="n"/>
      <c r="O420" s="20" t="n"/>
      <c r="P420" s="19" t="n"/>
    </row>
    <row r="421">
      <c r="A421" s="19" t="n"/>
      <c r="B421" s="20" t="n"/>
      <c r="C421" s="21">
        <f>IF(B421="","",DATE(YEAR(B421),MONTH(B421),1))</f>
        <v/>
      </c>
      <c r="D421" s="19" t="n"/>
      <c r="E421" s="19" t="n"/>
      <c r="F421" s="19" t="n"/>
      <c r="G421" s="19" t="n"/>
      <c r="H421" s="19" t="n"/>
      <c r="I421" s="19" t="n"/>
      <c r="J421" s="19" t="n"/>
      <c r="K421" s="20" t="n"/>
      <c r="L421" s="22">
        <f>IF(OR(B421="",K421=""),"",K421-B421)</f>
        <v/>
      </c>
      <c r="M421" s="19" t="n"/>
      <c r="N421" s="19" t="n"/>
      <c r="O421" s="20" t="n"/>
      <c r="P421" s="19" t="n"/>
    </row>
    <row r="422">
      <c r="A422" s="19" t="n"/>
      <c r="B422" s="20" t="n"/>
      <c r="C422" s="21">
        <f>IF(B422="","",DATE(YEAR(B422),MONTH(B422),1))</f>
        <v/>
      </c>
      <c r="D422" s="19" t="n"/>
      <c r="E422" s="19" t="n"/>
      <c r="F422" s="19" t="n"/>
      <c r="G422" s="19" t="n"/>
      <c r="H422" s="19" t="n"/>
      <c r="I422" s="19" t="n"/>
      <c r="J422" s="19" t="n"/>
      <c r="K422" s="20" t="n"/>
      <c r="L422" s="22">
        <f>IF(OR(B422="",K422=""),"",K422-B422)</f>
        <v/>
      </c>
      <c r="M422" s="19" t="n"/>
      <c r="N422" s="19" t="n"/>
      <c r="O422" s="20" t="n"/>
      <c r="P422" s="19" t="n"/>
    </row>
    <row r="423">
      <c r="A423" s="19" t="n"/>
      <c r="B423" s="20" t="n"/>
      <c r="C423" s="21">
        <f>IF(B423="","",DATE(YEAR(B423),MONTH(B423),1))</f>
        <v/>
      </c>
      <c r="D423" s="19" t="n"/>
      <c r="E423" s="19" t="n"/>
      <c r="F423" s="19" t="n"/>
      <c r="G423" s="19" t="n"/>
      <c r="H423" s="19" t="n"/>
      <c r="I423" s="19" t="n"/>
      <c r="J423" s="19" t="n"/>
      <c r="K423" s="20" t="n"/>
      <c r="L423" s="22">
        <f>IF(OR(B423="",K423=""),"",K423-B423)</f>
        <v/>
      </c>
      <c r="M423" s="19" t="n"/>
      <c r="N423" s="19" t="n"/>
      <c r="O423" s="20" t="n"/>
      <c r="P423" s="19" t="n"/>
    </row>
    <row r="424">
      <c r="A424" s="19" t="n"/>
      <c r="B424" s="20" t="n"/>
      <c r="C424" s="21">
        <f>IF(B424="","",DATE(YEAR(B424),MONTH(B424),1))</f>
        <v/>
      </c>
      <c r="D424" s="19" t="n"/>
      <c r="E424" s="19" t="n"/>
      <c r="F424" s="19" t="n"/>
      <c r="G424" s="19" t="n"/>
      <c r="H424" s="19" t="n"/>
      <c r="I424" s="19" t="n"/>
      <c r="J424" s="19" t="n"/>
      <c r="K424" s="20" t="n"/>
      <c r="L424" s="22">
        <f>IF(OR(B424="",K424=""),"",K424-B424)</f>
        <v/>
      </c>
      <c r="M424" s="19" t="n"/>
      <c r="N424" s="19" t="n"/>
      <c r="O424" s="20" t="n"/>
      <c r="P424" s="19" t="n"/>
    </row>
    <row r="425">
      <c r="A425" s="19" t="n"/>
      <c r="B425" s="20" t="n"/>
      <c r="C425" s="21">
        <f>IF(B425="","",DATE(YEAR(B425),MONTH(B425),1))</f>
        <v/>
      </c>
      <c r="D425" s="19" t="n"/>
      <c r="E425" s="19" t="n"/>
      <c r="F425" s="19" t="n"/>
      <c r="G425" s="19" t="n"/>
      <c r="H425" s="19" t="n"/>
      <c r="I425" s="19" t="n"/>
      <c r="J425" s="19" t="n"/>
      <c r="K425" s="20" t="n"/>
      <c r="L425" s="22">
        <f>IF(OR(B425="",K425=""),"",K425-B425)</f>
        <v/>
      </c>
      <c r="M425" s="19" t="n"/>
      <c r="N425" s="19" t="n"/>
      <c r="O425" s="20" t="n"/>
      <c r="P425" s="19" t="n"/>
    </row>
    <row r="426">
      <c r="A426" s="19" t="n"/>
      <c r="B426" s="20" t="n"/>
      <c r="C426" s="21">
        <f>IF(B426="","",DATE(YEAR(B426),MONTH(B426),1))</f>
        <v/>
      </c>
      <c r="D426" s="19" t="n"/>
      <c r="E426" s="19" t="n"/>
      <c r="F426" s="19" t="n"/>
      <c r="G426" s="19" t="n"/>
      <c r="H426" s="19" t="n"/>
      <c r="I426" s="19" t="n"/>
      <c r="J426" s="19" t="n"/>
      <c r="K426" s="20" t="n"/>
      <c r="L426" s="22">
        <f>IF(OR(B426="",K426=""),"",K426-B426)</f>
        <v/>
      </c>
      <c r="M426" s="19" t="n"/>
      <c r="N426" s="19" t="n"/>
      <c r="O426" s="20" t="n"/>
      <c r="P426" s="19" t="n"/>
    </row>
    <row r="427">
      <c r="A427" s="19" t="n"/>
      <c r="B427" s="20" t="n"/>
      <c r="C427" s="21">
        <f>IF(B427="","",DATE(YEAR(B427),MONTH(B427),1))</f>
        <v/>
      </c>
      <c r="D427" s="19" t="n"/>
      <c r="E427" s="19" t="n"/>
      <c r="F427" s="19" t="n"/>
      <c r="G427" s="19" t="n"/>
      <c r="H427" s="19" t="n"/>
      <c r="I427" s="19" t="n"/>
      <c r="J427" s="19" t="n"/>
      <c r="K427" s="20" t="n"/>
      <c r="L427" s="22">
        <f>IF(OR(B427="",K427=""),"",K427-B427)</f>
        <v/>
      </c>
      <c r="M427" s="19" t="n"/>
      <c r="N427" s="19" t="n"/>
      <c r="O427" s="20" t="n"/>
      <c r="P427" s="19" t="n"/>
    </row>
    <row r="428">
      <c r="A428" s="19" t="n"/>
      <c r="B428" s="20" t="n"/>
      <c r="C428" s="21">
        <f>IF(B428="","",DATE(YEAR(B428),MONTH(B428),1))</f>
        <v/>
      </c>
      <c r="D428" s="19" t="n"/>
      <c r="E428" s="19" t="n"/>
      <c r="F428" s="19" t="n"/>
      <c r="G428" s="19" t="n"/>
      <c r="H428" s="19" t="n"/>
      <c r="I428" s="19" t="n"/>
      <c r="J428" s="19" t="n"/>
      <c r="K428" s="20" t="n"/>
      <c r="L428" s="22">
        <f>IF(OR(B428="",K428=""),"",K428-B428)</f>
        <v/>
      </c>
      <c r="M428" s="19" t="n"/>
      <c r="N428" s="19" t="n"/>
      <c r="O428" s="20" t="n"/>
      <c r="P428" s="19" t="n"/>
    </row>
    <row r="429">
      <c r="A429" s="19" t="n"/>
      <c r="B429" s="20" t="n"/>
      <c r="C429" s="21">
        <f>IF(B429="","",DATE(YEAR(B429),MONTH(B429),1))</f>
        <v/>
      </c>
      <c r="D429" s="19" t="n"/>
      <c r="E429" s="19" t="n"/>
      <c r="F429" s="19" t="n"/>
      <c r="G429" s="19" t="n"/>
      <c r="H429" s="19" t="n"/>
      <c r="I429" s="19" t="n"/>
      <c r="J429" s="19" t="n"/>
      <c r="K429" s="20" t="n"/>
      <c r="L429" s="22">
        <f>IF(OR(B429="",K429=""),"",K429-B429)</f>
        <v/>
      </c>
      <c r="M429" s="19" t="n"/>
      <c r="N429" s="19" t="n"/>
      <c r="O429" s="20" t="n"/>
      <c r="P429" s="19" t="n"/>
    </row>
    <row r="430">
      <c r="A430" s="19" t="n"/>
      <c r="B430" s="20" t="n"/>
      <c r="C430" s="21">
        <f>IF(B430="","",DATE(YEAR(B430),MONTH(B430),1))</f>
        <v/>
      </c>
      <c r="D430" s="19" t="n"/>
      <c r="E430" s="19" t="n"/>
      <c r="F430" s="19" t="n"/>
      <c r="G430" s="19" t="n"/>
      <c r="H430" s="19" t="n"/>
      <c r="I430" s="19" t="n"/>
      <c r="J430" s="19" t="n"/>
      <c r="K430" s="20" t="n"/>
      <c r="L430" s="22">
        <f>IF(OR(B430="",K430=""),"",K430-B430)</f>
        <v/>
      </c>
      <c r="M430" s="19" t="n"/>
      <c r="N430" s="19" t="n"/>
      <c r="O430" s="20" t="n"/>
      <c r="P430" s="19" t="n"/>
    </row>
    <row r="431">
      <c r="A431" s="19" t="n"/>
      <c r="B431" s="20" t="n"/>
      <c r="C431" s="21">
        <f>IF(B431="","",DATE(YEAR(B431),MONTH(B431),1))</f>
        <v/>
      </c>
      <c r="D431" s="19" t="n"/>
      <c r="E431" s="19" t="n"/>
      <c r="F431" s="19" t="n"/>
      <c r="G431" s="19" t="n"/>
      <c r="H431" s="19" t="n"/>
      <c r="I431" s="19" t="n"/>
      <c r="J431" s="19" t="n"/>
      <c r="K431" s="20" t="n"/>
      <c r="L431" s="22">
        <f>IF(OR(B431="",K431=""),"",K431-B431)</f>
        <v/>
      </c>
      <c r="M431" s="19" t="n"/>
      <c r="N431" s="19" t="n"/>
      <c r="O431" s="20" t="n"/>
      <c r="P431" s="19" t="n"/>
    </row>
    <row r="432">
      <c r="A432" s="19" t="n"/>
      <c r="B432" s="20" t="n"/>
      <c r="C432" s="21">
        <f>IF(B432="","",DATE(YEAR(B432),MONTH(B432),1))</f>
        <v/>
      </c>
      <c r="D432" s="19" t="n"/>
      <c r="E432" s="19" t="n"/>
      <c r="F432" s="19" t="n"/>
      <c r="G432" s="19" t="n"/>
      <c r="H432" s="19" t="n"/>
      <c r="I432" s="19" t="n"/>
      <c r="J432" s="19" t="n"/>
      <c r="K432" s="20" t="n"/>
      <c r="L432" s="22">
        <f>IF(OR(B432="",K432=""),"",K432-B432)</f>
        <v/>
      </c>
      <c r="M432" s="19" t="n"/>
      <c r="N432" s="19" t="n"/>
      <c r="O432" s="20" t="n"/>
      <c r="P432" s="19" t="n"/>
    </row>
    <row r="433">
      <c r="A433" s="19" t="n"/>
      <c r="B433" s="20" t="n"/>
      <c r="C433" s="21">
        <f>IF(B433="","",DATE(YEAR(B433),MONTH(B433),1))</f>
        <v/>
      </c>
      <c r="D433" s="19" t="n"/>
      <c r="E433" s="19" t="n"/>
      <c r="F433" s="19" t="n"/>
      <c r="G433" s="19" t="n"/>
      <c r="H433" s="19" t="n"/>
      <c r="I433" s="19" t="n"/>
      <c r="J433" s="19" t="n"/>
      <c r="K433" s="20" t="n"/>
      <c r="L433" s="22">
        <f>IF(OR(B433="",K433=""),"",K433-B433)</f>
        <v/>
      </c>
      <c r="M433" s="19" t="n"/>
      <c r="N433" s="19" t="n"/>
      <c r="O433" s="20" t="n"/>
      <c r="P433" s="19" t="n"/>
    </row>
    <row r="434">
      <c r="A434" s="19" t="n"/>
      <c r="B434" s="20" t="n"/>
      <c r="C434" s="21">
        <f>IF(B434="","",DATE(YEAR(B434),MONTH(B434),1))</f>
        <v/>
      </c>
      <c r="D434" s="19" t="n"/>
      <c r="E434" s="19" t="n"/>
      <c r="F434" s="19" t="n"/>
      <c r="G434" s="19" t="n"/>
      <c r="H434" s="19" t="n"/>
      <c r="I434" s="19" t="n"/>
      <c r="J434" s="19" t="n"/>
      <c r="K434" s="20" t="n"/>
      <c r="L434" s="22">
        <f>IF(OR(B434="",K434=""),"",K434-B434)</f>
        <v/>
      </c>
      <c r="M434" s="19" t="n"/>
      <c r="N434" s="19" t="n"/>
      <c r="O434" s="20" t="n"/>
      <c r="P434" s="19" t="n"/>
    </row>
    <row r="435">
      <c r="A435" s="19" t="n"/>
      <c r="B435" s="20" t="n"/>
      <c r="C435" s="21">
        <f>IF(B435="","",DATE(YEAR(B435),MONTH(B435),1))</f>
        <v/>
      </c>
      <c r="D435" s="19" t="n"/>
      <c r="E435" s="19" t="n"/>
      <c r="F435" s="19" t="n"/>
      <c r="G435" s="19" t="n"/>
      <c r="H435" s="19" t="n"/>
      <c r="I435" s="19" t="n"/>
      <c r="J435" s="19" t="n"/>
      <c r="K435" s="20" t="n"/>
      <c r="L435" s="22">
        <f>IF(OR(B435="",K435=""),"",K435-B435)</f>
        <v/>
      </c>
      <c r="M435" s="19" t="n"/>
      <c r="N435" s="19" t="n"/>
      <c r="O435" s="20" t="n"/>
      <c r="P435" s="19" t="n"/>
    </row>
    <row r="436">
      <c r="A436" s="19" t="n"/>
      <c r="B436" s="20" t="n"/>
      <c r="C436" s="21">
        <f>IF(B436="","",DATE(YEAR(B436),MONTH(B436),1))</f>
        <v/>
      </c>
      <c r="D436" s="19" t="n"/>
      <c r="E436" s="19" t="n"/>
      <c r="F436" s="19" t="n"/>
      <c r="G436" s="19" t="n"/>
      <c r="H436" s="19" t="n"/>
      <c r="I436" s="19" t="n"/>
      <c r="J436" s="19" t="n"/>
      <c r="K436" s="20" t="n"/>
      <c r="L436" s="22">
        <f>IF(OR(B436="",K436=""),"",K436-B436)</f>
        <v/>
      </c>
      <c r="M436" s="19" t="n"/>
      <c r="N436" s="19" t="n"/>
      <c r="O436" s="20" t="n"/>
      <c r="P436" s="19" t="n"/>
    </row>
    <row r="437">
      <c r="A437" s="19" t="n"/>
      <c r="B437" s="20" t="n"/>
      <c r="C437" s="21">
        <f>IF(B437="","",DATE(YEAR(B437),MONTH(B437),1))</f>
        <v/>
      </c>
      <c r="D437" s="19" t="n"/>
      <c r="E437" s="19" t="n"/>
      <c r="F437" s="19" t="n"/>
      <c r="G437" s="19" t="n"/>
      <c r="H437" s="19" t="n"/>
      <c r="I437" s="19" t="n"/>
      <c r="J437" s="19" t="n"/>
      <c r="K437" s="20" t="n"/>
      <c r="L437" s="22">
        <f>IF(OR(B437="",K437=""),"",K437-B437)</f>
        <v/>
      </c>
      <c r="M437" s="19" t="n"/>
      <c r="N437" s="19" t="n"/>
      <c r="O437" s="20" t="n"/>
      <c r="P437" s="19" t="n"/>
    </row>
    <row r="438">
      <c r="A438" s="19" t="n"/>
      <c r="B438" s="20" t="n"/>
      <c r="C438" s="21">
        <f>IF(B438="","",DATE(YEAR(B438),MONTH(B438),1))</f>
        <v/>
      </c>
      <c r="D438" s="19" t="n"/>
      <c r="E438" s="19" t="n"/>
      <c r="F438" s="19" t="n"/>
      <c r="G438" s="19" t="n"/>
      <c r="H438" s="19" t="n"/>
      <c r="I438" s="19" t="n"/>
      <c r="J438" s="19" t="n"/>
      <c r="K438" s="20" t="n"/>
      <c r="L438" s="22">
        <f>IF(OR(B438="",K438=""),"",K438-B438)</f>
        <v/>
      </c>
      <c r="M438" s="19" t="n"/>
      <c r="N438" s="19" t="n"/>
      <c r="O438" s="20" t="n"/>
      <c r="P438" s="19" t="n"/>
    </row>
    <row r="439">
      <c r="A439" s="19" t="n"/>
      <c r="B439" s="20" t="n"/>
      <c r="C439" s="21">
        <f>IF(B439="","",DATE(YEAR(B439),MONTH(B439),1))</f>
        <v/>
      </c>
      <c r="D439" s="19" t="n"/>
      <c r="E439" s="19" t="n"/>
      <c r="F439" s="19" t="n"/>
      <c r="G439" s="19" t="n"/>
      <c r="H439" s="19" t="n"/>
      <c r="I439" s="19" t="n"/>
      <c r="J439" s="19" t="n"/>
      <c r="K439" s="20" t="n"/>
      <c r="L439" s="22">
        <f>IF(OR(B439="",K439=""),"",K439-B439)</f>
        <v/>
      </c>
      <c r="M439" s="19" t="n"/>
      <c r="N439" s="19" t="n"/>
      <c r="O439" s="20" t="n"/>
      <c r="P439" s="19" t="n"/>
    </row>
    <row r="440">
      <c r="A440" s="19" t="n"/>
      <c r="B440" s="20" t="n"/>
      <c r="C440" s="21">
        <f>IF(B440="","",DATE(YEAR(B440),MONTH(B440),1))</f>
        <v/>
      </c>
      <c r="D440" s="19" t="n"/>
      <c r="E440" s="19" t="n"/>
      <c r="F440" s="19" t="n"/>
      <c r="G440" s="19" t="n"/>
      <c r="H440" s="19" t="n"/>
      <c r="I440" s="19" t="n"/>
      <c r="J440" s="19" t="n"/>
      <c r="K440" s="20" t="n"/>
      <c r="L440" s="22">
        <f>IF(OR(B440="",K440=""),"",K440-B440)</f>
        <v/>
      </c>
      <c r="M440" s="19" t="n"/>
      <c r="N440" s="19" t="n"/>
      <c r="O440" s="20" t="n"/>
      <c r="P440" s="19" t="n"/>
    </row>
    <row r="441">
      <c r="A441" s="19" t="n"/>
      <c r="B441" s="20" t="n"/>
      <c r="C441" s="21">
        <f>IF(B441="","",DATE(YEAR(B441),MONTH(B441),1))</f>
        <v/>
      </c>
      <c r="D441" s="19" t="n"/>
      <c r="E441" s="19" t="n"/>
      <c r="F441" s="19" t="n"/>
      <c r="G441" s="19" t="n"/>
      <c r="H441" s="19" t="n"/>
      <c r="I441" s="19" t="n"/>
      <c r="J441" s="19" t="n"/>
      <c r="K441" s="20" t="n"/>
      <c r="L441" s="22">
        <f>IF(OR(B441="",K441=""),"",K441-B441)</f>
        <v/>
      </c>
      <c r="M441" s="19" t="n"/>
      <c r="N441" s="19" t="n"/>
      <c r="O441" s="20" t="n"/>
      <c r="P441" s="19" t="n"/>
    </row>
    <row r="442">
      <c r="A442" s="19" t="n"/>
      <c r="B442" s="20" t="n"/>
      <c r="C442" s="21">
        <f>IF(B442="","",DATE(YEAR(B442),MONTH(B442),1))</f>
        <v/>
      </c>
      <c r="D442" s="19" t="n"/>
      <c r="E442" s="19" t="n"/>
      <c r="F442" s="19" t="n"/>
      <c r="G442" s="19" t="n"/>
      <c r="H442" s="19" t="n"/>
      <c r="I442" s="19" t="n"/>
      <c r="J442" s="19" t="n"/>
      <c r="K442" s="20" t="n"/>
      <c r="L442" s="22">
        <f>IF(OR(B442="",K442=""),"",K442-B442)</f>
        <v/>
      </c>
      <c r="M442" s="19" t="n"/>
      <c r="N442" s="19" t="n"/>
      <c r="O442" s="20" t="n"/>
      <c r="P442" s="19" t="n"/>
    </row>
    <row r="443">
      <c r="A443" s="19" t="n"/>
      <c r="B443" s="20" t="n"/>
      <c r="C443" s="21">
        <f>IF(B443="","",DATE(YEAR(B443),MONTH(B443),1))</f>
        <v/>
      </c>
      <c r="D443" s="19" t="n"/>
      <c r="E443" s="19" t="n"/>
      <c r="F443" s="19" t="n"/>
      <c r="G443" s="19" t="n"/>
      <c r="H443" s="19" t="n"/>
      <c r="I443" s="19" t="n"/>
      <c r="J443" s="19" t="n"/>
      <c r="K443" s="20" t="n"/>
      <c r="L443" s="22">
        <f>IF(OR(B443="",K443=""),"",K443-B443)</f>
        <v/>
      </c>
      <c r="M443" s="19" t="n"/>
      <c r="N443" s="19" t="n"/>
      <c r="O443" s="20" t="n"/>
      <c r="P443" s="19" t="n"/>
    </row>
    <row r="444">
      <c r="A444" s="19" t="n"/>
      <c r="B444" s="20" t="n"/>
      <c r="C444" s="21">
        <f>IF(B444="","",DATE(YEAR(B444),MONTH(B444),1))</f>
        <v/>
      </c>
      <c r="D444" s="19" t="n"/>
      <c r="E444" s="19" t="n"/>
      <c r="F444" s="19" t="n"/>
      <c r="G444" s="19" t="n"/>
      <c r="H444" s="19" t="n"/>
      <c r="I444" s="19" t="n"/>
      <c r="J444" s="19" t="n"/>
      <c r="K444" s="20" t="n"/>
      <c r="L444" s="22">
        <f>IF(OR(B444="",K444=""),"",K444-B444)</f>
        <v/>
      </c>
      <c r="M444" s="19" t="n"/>
      <c r="N444" s="19" t="n"/>
      <c r="O444" s="20" t="n"/>
      <c r="P444" s="19" t="n"/>
    </row>
    <row r="445">
      <c r="A445" s="19" t="n"/>
      <c r="B445" s="20" t="n"/>
      <c r="C445" s="21">
        <f>IF(B445="","",DATE(YEAR(B445),MONTH(B445),1))</f>
        <v/>
      </c>
      <c r="D445" s="19" t="n"/>
      <c r="E445" s="19" t="n"/>
      <c r="F445" s="19" t="n"/>
      <c r="G445" s="19" t="n"/>
      <c r="H445" s="19" t="n"/>
      <c r="I445" s="19" t="n"/>
      <c r="J445" s="19" t="n"/>
      <c r="K445" s="20" t="n"/>
      <c r="L445" s="22">
        <f>IF(OR(B445="",K445=""),"",K445-B445)</f>
        <v/>
      </c>
      <c r="M445" s="19" t="n"/>
      <c r="N445" s="19" t="n"/>
      <c r="O445" s="20" t="n"/>
      <c r="P445" s="19" t="n"/>
    </row>
    <row r="446">
      <c r="A446" s="19" t="n"/>
      <c r="B446" s="20" t="n"/>
      <c r="C446" s="21">
        <f>IF(B446="","",DATE(YEAR(B446),MONTH(B446),1))</f>
        <v/>
      </c>
      <c r="D446" s="19" t="n"/>
      <c r="E446" s="19" t="n"/>
      <c r="F446" s="19" t="n"/>
      <c r="G446" s="19" t="n"/>
      <c r="H446" s="19" t="n"/>
      <c r="I446" s="19" t="n"/>
      <c r="J446" s="19" t="n"/>
      <c r="K446" s="20" t="n"/>
      <c r="L446" s="22">
        <f>IF(OR(B446="",K446=""),"",K446-B446)</f>
        <v/>
      </c>
      <c r="M446" s="19" t="n"/>
      <c r="N446" s="19" t="n"/>
      <c r="O446" s="20" t="n"/>
      <c r="P446" s="19" t="n"/>
    </row>
    <row r="447">
      <c r="A447" s="19" t="n"/>
      <c r="B447" s="20" t="n"/>
      <c r="C447" s="21">
        <f>IF(B447="","",DATE(YEAR(B447),MONTH(B447),1))</f>
        <v/>
      </c>
      <c r="D447" s="19" t="n"/>
      <c r="E447" s="19" t="n"/>
      <c r="F447" s="19" t="n"/>
      <c r="G447" s="19" t="n"/>
      <c r="H447" s="19" t="n"/>
      <c r="I447" s="19" t="n"/>
      <c r="J447" s="19" t="n"/>
      <c r="K447" s="20" t="n"/>
      <c r="L447" s="22">
        <f>IF(OR(B447="",K447=""),"",K447-B447)</f>
        <v/>
      </c>
      <c r="M447" s="19" t="n"/>
      <c r="N447" s="19" t="n"/>
      <c r="O447" s="20" t="n"/>
      <c r="P447" s="19" t="n"/>
    </row>
    <row r="448">
      <c r="A448" s="19" t="n"/>
      <c r="B448" s="20" t="n"/>
      <c r="C448" s="21">
        <f>IF(B448="","",DATE(YEAR(B448),MONTH(B448),1))</f>
        <v/>
      </c>
      <c r="D448" s="19" t="n"/>
      <c r="E448" s="19" t="n"/>
      <c r="F448" s="19" t="n"/>
      <c r="G448" s="19" t="n"/>
      <c r="H448" s="19" t="n"/>
      <c r="I448" s="19" t="n"/>
      <c r="J448" s="19" t="n"/>
      <c r="K448" s="20" t="n"/>
      <c r="L448" s="22">
        <f>IF(OR(B448="",K448=""),"",K448-B448)</f>
        <v/>
      </c>
      <c r="M448" s="19" t="n"/>
      <c r="N448" s="19" t="n"/>
      <c r="O448" s="20" t="n"/>
      <c r="P448" s="19" t="n"/>
    </row>
    <row r="449">
      <c r="A449" s="19" t="n"/>
      <c r="B449" s="20" t="n"/>
      <c r="C449" s="21">
        <f>IF(B449="","",DATE(YEAR(B449),MONTH(B449),1))</f>
        <v/>
      </c>
      <c r="D449" s="19" t="n"/>
      <c r="E449" s="19" t="n"/>
      <c r="F449" s="19" t="n"/>
      <c r="G449" s="19" t="n"/>
      <c r="H449" s="19" t="n"/>
      <c r="I449" s="19" t="n"/>
      <c r="J449" s="19" t="n"/>
      <c r="K449" s="20" t="n"/>
      <c r="L449" s="22">
        <f>IF(OR(B449="",K449=""),"",K449-B449)</f>
        <v/>
      </c>
      <c r="M449" s="19" t="n"/>
      <c r="N449" s="19" t="n"/>
      <c r="O449" s="20" t="n"/>
      <c r="P449" s="19" t="n"/>
    </row>
    <row r="450">
      <c r="A450" s="19" t="n"/>
      <c r="B450" s="20" t="n"/>
      <c r="C450" s="21">
        <f>IF(B450="","",DATE(YEAR(B450),MONTH(B450),1))</f>
        <v/>
      </c>
      <c r="D450" s="19" t="n"/>
      <c r="E450" s="19" t="n"/>
      <c r="F450" s="19" t="n"/>
      <c r="G450" s="19" t="n"/>
      <c r="H450" s="19" t="n"/>
      <c r="I450" s="19" t="n"/>
      <c r="J450" s="19" t="n"/>
      <c r="K450" s="20" t="n"/>
      <c r="L450" s="22">
        <f>IF(OR(B450="",K450=""),"",K450-B450)</f>
        <v/>
      </c>
      <c r="M450" s="19" t="n"/>
      <c r="N450" s="19" t="n"/>
      <c r="O450" s="20" t="n"/>
      <c r="P450" s="19" t="n"/>
    </row>
    <row r="451">
      <c r="A451" s="19" t="n"/>
      <c r="B451" s="20" t="n"/>
      <c r="C451" s="21">
        <f>IF(B451="","",DATE(YEAR(B451),MONTH(B451),1))</f>
        <v/>
      </c>
      <c r="D451" s="19" t="n"/>
      <c r="E451" s="19" t="n"/>
      <c r="F451" s="19" t="n"/>
      <c r="G451" s="19" t="n"/>
      <c r="H451" s="19" t="n"/>
      <c r="I451" s="19" t="n"/>
      <c r="J451" s="19" t="n"/>
      <c r="K451" s="20" t="n"/>
      <c r="L451" s="22">
        <f>IF(OR(B451="",K451=""),"",K451-B451)</f>
        <v/>
      </c>
      <c r="M451" s="19" t="n"/>
      <c r="N451" s="19" t="n"/>
      <c r="O451" s="20" t="n"/>
      <c r="P451" s="19" t="n"/>
    </row>
    <row r="452">
      <c r="A452" s="19" t="n"/>
      <c r="B452" s="20" t="n"/>
      <c r="C452" s="21">
        <f>IF(B452="","",DATE(YEAR(B452),MONTH(B452),1))</f>
        <v/>
      </c>
      <c r="D452" s="19" t="n"/>
      <c r="E452" s="19" t="n"/>
      <c r="F452" s="19" t="n"/>
      <c r="G452" s="19" t="n"/>
      <c r="H452" s="19" t="n"/>
      <c r="I452" s="19" t="n"/>
      <c r="J452" s="19" t="n"/>
      <c r="K452" s="20" t="n"/>
      <c r="L452" s="22">
        <f>IF(OR(B452="",K452=""),"",K452-B452)</f>
        <v/>
      </c>
      <c r="M452" s="19" t="n"/>
      <c r="N452" s="19" t="n"/>
      <c r="O452" s="20" t="n"/>
      <c r="P452" s="19" t="n"/>
    </row>
    <row r="453">
      <c r="A453" s="19" t="n"/>
      <c r="B453" s="20" t="n"/>
      <c r="C453" s="21">
        <f>IF(B453="","",DATE(YEAR(B453),MONTH(B453),1))</f>
        <v/>
      </c>
      <c r="D453" s="19" t="n"/>
      <c r="E453" s="19" t="n"/>
      <c r="F453" s="19" t="n"/>
      <c r="G453" s="19" t="n"/>
      <c r="H453" s="19" t="n"/>
      <c r="I453" s="19" t="n"/>
      <c r="J453" s="19" t="n"/>
      <c r="K453" s="20" t="n"/>
      <c r="L453" s="22">
        <f>IF(OR(B453="",K453=""),"",K453-B453)</f>
        <v/>
      </c>
      <c r="M453" s="19" t="n"/>
      <c r="N453" s="19" t="n"/>
      <c r="O453" s="20" t="n"/>
      <c r="P453" s="19" t="n"/>
    </row>
    <row r="454">
      <c r="A454" s="19" t="n"/>
      <c r="B454" s="20" t="n"/>
      <c r="C454" s="21">
        <f>IF(B454="","",DATE(YEAR(B454),MONTH(B454),1))</f>
        <v/>
      </c>
      <c r="D454" s="19" t="n"/>
      <c r="E454" s="19" t="n"/>
      <c r="F454" s="19" t="n"/>
      <c r="G454" s="19" t="n"/>
      <c r="H454" s="19" t="n"/>
      <c r="I454" s="19" t="n"/>
      <c r="J454" s="19" t="n"/>
      <c r="K454" s="20" t="n"/>
      <c r="L454" s="22">
        <f>IF(OR(B454="",K454=""),"",K454-B454)</f>
        <v/>
      </c>
      <c r="M454" s="19" t="n"/>
      <c r="N454" s="19" t="n"/>
      <c r="O454" s="20" t="n"/>
      <c r="P454" s="19" t="n"/>
    </row>
    <row r="455">
      <c r="A455" s="19" t="n"/>
      <c r="B455" s="20" t="n"/>
      <c r="C455" s="21">
        <f>IF(B455="","",DATE(YEAR(B455),MONTH(B455),1))</f>
        <v/>
      </c>
      <c r="D455" s="19" t="n"/>
      <c r="E455" s="19" t="n"/>
      <c r="F455" s="19" t="n"/>
      <c r="G455" s="19" t="n"/>
      <c r="H455" s="19" t="n"/>
      <c r="I455" s="19" t="n"/>
      <c r="J455" s="19" t="n"/>
      <c r="K455" s="20" t="n"/>
      <c r="L455" s="22">
        <f>IF(OR(B455="",K455=""),"",K455-B455)</f>
        <v/>
      </c>
      <c r="M455" s="19" t="n"/>
      <c r="N455" s="19" t="n"/>
      <c r="O455" s="20" t="n"/>
      <c r="P455" s="19" t="n"/>
    </row>
    <row r="456">
      <c r="A456" s="19" t="n"/>
      <c r="B456" s="20" t="n"/>
      <c r="C456" s="21">
        <f>IF(B456="","",DATE(YEAR(B456),MONTH(B456),1))</f>
        <v/>
      </c>
      <c r="D456" s="19" t="n"/>
      <c r="E456" s="19" t="n"/>
      <c r="F456" s="19" t="n"/>
      <c r="G456" s="19" t="n"/>
      <c r="H456" s="19" t="n"/>
      <c r="I456" s="19" t="n"/>
      <c r="J456" s="19" t="n"/>
      <c r="K456" s="20" t="n"/>
      <c r="L456" s="22">
        <f>IF(OR(B456="",K456=""),"",K456-B456)</f>
        <v/>
      </c>
      <c r="M456" s="19" t="n"/>
      <c r="N456" s="19" t="n"/>
      <c r="O456" s="20" t="n"/>
      <c r="P456" s="19" t="n"/>
    </row>
    <row r="457">
      <c r="A457" s="19" t="n"/>
      <c r="B457" s="20" t="n"/>
      <c r="C457" s="21">
        <f>IF(B457="","",DATE(YEAR(B457),MONTH(B457),1))</f>
        <v/>
      </c>
      <c r="D457" s="19" t="n"/>
      <c r="E457" s="19" t="n"/>
      <c r="F457" s="19" t="n"/>
      <c r="G457" s="19" t="n"/>
      <c r="H457" s="19" t="n"/>
      <c r="I457" s="19" t="n"/>
      <c r="J457" s="19" t="n"/>
      <c r="K457" s="20" t="n"/>
      <c r="L457" s="22">
        <f>IF(OR(B457="",K457=""),"",K457-B457)</f>
        <v/>
      </c>
      <c r="M457" s="19" t="n"/>
      <c r="N457" s="19" t="n"/>
      <c r="O457" s="20" t="n"/>
      <c r="P457" s="19" t="n"/>
    </row>
    <row r="458">
      <c r="A458" s="19" t="n"/>
      <c r="B458" s="20" t="n"/>
      <c r="C458" s="21">
        <f>IF(B458="","",DATE(YEAR(B458),MONTH(B458),1))</f>
        <v/>
      </c>
      <c r="D458" s="19" t="n"/>
      <c r="E458" s="19" t="n"/>
      <c r="F458" s="19" t="n"/>
      <c r="G458" s="19" t="n"/>
      <c r="H458" s="19" t="n"/>
      <c r="I458" s="19" t="n"/>
      <c r="J458" s="19" t="n"/>
      <c r="K458" s="20" t="n"/>
      <c r="L458" s="22">
        <f>IF(OR(B458="",K458=""),"",K458-B458)</f>
        <v/>
      </c>
      <c r="M458" s="19" t="n"/>
      <c r="N458" s="19" t="n"/>
      <c r="O458" s="20" t="n"/>
      <c r="P458" s="19" t="n"/>
    </row>
    <row r="459">
      <c r="A459" s="19" t="n"/>
      <c r="B459" s="20" t="n"/>
      <c r="C459" s="21">
        <f>IF(B459="","",DATE(YEAR(B459),MONTH(B459),1))</f>
        <v/>
      </c>
      <c r="D459" s="19" t="n"/>
      <c r="E459" s="19" t="n"/>
      <c r="F459" s="19" t="n"/>
      <c r="G459" s="19" t="n"/>
      <c r="H459" s="19" t="n"/>
      <c r="I459" s="19" t="n"/>
      <c r="J459" s="19" t="n"/>
      <c r="K459" s="20" t="n"/>
      <c r="L459" s="22">
        <f>IF(OR(B459="",K459=""),"",K459-B459)</f>
        <v/>
      </c>
      <c r="M459" s="19" t="n"/>
      <c r="N459" s="19" t="n"/>
      <c r="O459" s="20" t="n"/>
      <c r="P459" s="19" t="n"/>
    </row>
    <row r="460">
      <c r="A460" s="19" t="n"/>
      <c r="B460" s="20" t="n"/>
      <c r="C460" s="21">
        <f>IF(B460="","",DATE(YEAR(B460),MONTH(B460),1))</f>
        <v/>
      </c>
      <c r="D460" s="19" t="n"/>
      <c r="E460" s="19" t="n"/>
      <c r="F460" s="19" t="n"/>
      <c r="G460" s="19" t="n"/>
      <c r="H460" s="19" t="n"/>
      <c r="I460" s="19" t="n"/>
      <c r="J460" s="19" t="n"/>
      <c r="K460" s="20" t="n"/>
      <c r="L460" s="22">
        <f>IF(OR(B460="",K460=""),"",K460-B460)</f>
        <v/>
      </c>
      <c r="M460" s="19" t="n"/>
      <c r="N460" s="19" t="n"/>
      <c r="O460" s="20" t="n"/>
      <c r="P460" s="19" t="n"/>
    </row>
    <row r="461">
      <c r="A461" s="19" t="n"/>
      <c r="B461" s="20" t="n"/>
      <c r="C461" s="21">
        <f>IF(B461="","",DATE(YEAR(B461),MONTH(B461),1))</f>
        <v/>
      </c>
      <c r="D461" s="19" t="n"/>
      <c r="E461" s="19" t="n"/>
      <c r="F461" s="19" t="n"/>
      <c r="G461" s="19" t="n"/>
      <c r="H461" s="19" t="n"/>
      <c r="I461" s="19" t="n"/>
      <c r="J461" s="19" t="n"/>
      <c r="K461" s="20" t="n"/>
      <c r="L461" s="22">
        <f>IF(OR(B461="",K461=""),"",K461-B461)</f>
        <v/>
      </c>
      <c r="M461" s="19" t="n"/>
      <c r="N461" s="19" t="n"/>
      <c r="O461" s="20" t="n"/>
      <c r="P461" s="19" t="n"/>
    </row>
    <row r="462">
      <c r="A462" s="19" t="n"/>
      <c r="B462" s="20" t="n"/>
      <c r="C462" s="21">
        <f>IF(B462="","",DATE(YEAR(B462),MONTH(B462),1))</f>
        <v/>
      </c>
      <c r="D462" s="19" t="n"/>
      <c r="E462" s="19" t="n"/>
      <c r="F462" s="19" t="n"/>
      <c r="G462" s="19" t="n"/>
      <c r="H462" s="19" t="n"/>
      <c r="I462" s="19" t="n"/>
      <c r="J462" s="19" t="n"/>
      <c r="K462" s="20" t="n"/>
      <c r="L462" s="22">
        <f>IF(OR(B462="",K462=""),"",K462-B462)</f>
        <v/>
      </c>
      <c r="M462" s="19" t="n"/>
      <c r="N462" s="19" t="n"/>
      <c r="O462" s="20" t="n"/>
      <c r="P462" s="19" t="n"/>
    </row>
    <row r="463">
      <c r="A463" s="19" t="n"/>
      <c r="B463" s="20" t="n"/>
      <c r="C463" s="21">
        <f>IF(B463="","",DATE(YEAR(B463),MONTH(B463),1))</f>
        <v/>
      </c>
      <c r="D463" s="19" t="n"/>
      <c r="E463" s="19" t="n"/>
      <c r="F463" s="19" t="n"/>
      <c r="G463" s="19" t="n"/>
      <c r="H463" s="19" t="n"/>
      <c r="I463" s="19" t="n"/>
      <c r="J463" s="19" t="n"/>
      <c r="K463" s="20" t="n"/>
      <c r="L463" s="22">
        <f>IF(OR(B463="",K463=""),"",K463-B463)</f>
        <v/>
      </c>
      <c r="M463" s="19" t="n"/>
      <c r="N463" s="19" t="n"/>
      <c r="O463" s="20" t="n"/>
      <c r="P463" s="19" t="n"/>
    </row>
    <row r="464">
      <c r="A464" s="19" t="n"/>
      <c r="B464" s="20" t="n"/>
      <c r="C464" s="21">
        <f>IF(B464="","",DATE(YEAR(B464),MONTH(B464),1))</f>
        <v/>
      </c>
      <c r="D464" s="19" t="n"/>
      <c r="E464" s="19" t="n"/>
      <c r="F464" s="19" t="n"/>
      <c r="G464" s="19" t="n"/>
      <c r="H464" s="19" t="n"/>
      <c r="I464" s="19" t="n"/>
      <c r="J464" s="19" t="n"/>
      <c r="K464" s="20" t="n"/>
      <c r="L464" s="22">
        <f>IF(OR(B464="",K464=""),"",K464-B464)</f>
        <v/>
      </c>
      <c r="M464" s="19" t="n"/>
      <c r="N464" s="19" t="n"/>
      <c r="O464" s="20" t="n"/>
      <c r="P464" s="19" t="n"/>
    </row>
    <row r="465">
      <c r="A465" s="19" t="n"/>
      <c r="B465" s="20" t="n"/>
      <c r="C465" s="21">
        <f>IF(B465="","",DATE(YEAR(B465),MONTH(B465),1))</f>
        <v/>
      </c>
      <c r="D465" s="19" t="n"/>
      <c r="E465" s="19" t="n"/>
      <c r="F465" s="19" t="n"/>
      <c r="G465" s="19" t="n"/>
      <c r="H465" s="19" t="n"/>
      <c r="I465" s="19" t="n"/>
      <c r="J465" s="19" t="n"/>
      <c r="K465" s="20" t="n"/>
      <c r="L465" s="22">
        <f>IF(OR(B465="",K465=""),"",K465-B465)</f>
        <v/>
      </c>
      <c r="M465" s="19" t="n"/>
      <c r="N465" s="19" t="n"/>
      <c r="O465" s="20" t="n"/>
      <c r="P465" s="19" t="n"/>
    </row>
    <row r="466">
      <c r="A466" s="19" t="n"/>
      <c r="B466" s="20" t="n"/>
      <c r="C466" s="21">
        <f>IF(B466="","",DATE(YEAR(B466),MONTH(B466),1))</f>
        <v/>
      </c>
      <c r="D466" s="19" t="n"/>
      <c r="E466" s="19" t="n"/>
      <c r="F466" s="19" t="n"/>
      <c r="G466" s="19" t="n"/>
      <c r="H466" s="19" t="n"/>
      <c r="I466" s="19" t="n"/>
      <c r="J466" s="19" t="n"/>
      <c r="K466" s="20" t="n"/>
      <c r="L466" s="22">
        <f>IF(OR(B466="",K466=""),"",K466-B466)</f>
        <v/>
      </c>
      <c r="M466" s="19" t="n"/>
      <c r="N466" s="19" t="n"/>
      <c r="O466" s="20" t="n"/>
      <c r="P466" s="19" t="n"/>
    </row>
    <row r="467">
      <c r="A467" s="19" t="n"/>
      <c r="B467" s="20" t="n"/>
      <c r="C467" s="21">
        <f>IF(B467="","",DATE(YEAR(B467),MONTH(B467),1))</f>
        <v/>
      </c>
      <c r="D467" s="19" t="n"/>
      <c r="E467" s="19" t="n"/>
      <c r="F467" s="19" t="n"/>
      <c r="G467" s="19" t="n"/>
      <c r="H467" s="19" t="n"/>
      <c r="I467" s="19" t="n"/>
      <c r="J467" s="19" t="n"/>
      <c r="K467" s="20" t="n"/>
      <c r="L467" s="22">
        <f>IF(OR(B467="",K467=""),"",K467-B467)</f>
        <v/>
      </c>
      <c r="M467" s="19" t="n"/>
      <c r="N467" s="19" t="n"/>
      <c r="O467" s="20" t="n"/>
      <c r="P467" s="19" t="n"/>
    </row>
    <row r="468">
      <c r="A468" s="19" t="n"/>
      <c r="B468" s="20" t="n"/>
      <c r="C468" s="21">
        <f>IF(B468="","",DATE(YEAR(B468),MONTH(B468),1))</f>
        <v/>
      </c>
      <c r="D468" s="19" t="n"/>
      <c r="E468" s="19" t="n"/>
      <c r="F468" s="19" t="n"/>
      <c r="G468" s="19" t="n"/>
      <c r="H468" s="19" t="n"/>
      <c r="I468" s="19" t="n"/>
      <c r="J468" s="19" t="n"/>
      <c r="K468" s="20" t="n"/>
      <c r="L468" s="22">
        <f>IF(OR(B468="",K468=""),"",K468-B468)</f>
        <v/>
      </c>
      <c r="M468" s="19" t="n"/>
      <c r="N468" s="19" t="n"/>
      <c r="O468" s="20" t="n"/>
      <c r="P468" s="19" t="n"/>
    </row>
    <row r="469">
      <c r="A469" s="19" t="n"/>
      <c r="B469" s="20" t="n"/>
      <c r="C469" s="21">
        <f>IF(B469="","",DATE(YEAR(B469),MONTH(B469),1))</f>
        <v/>
      </c>
      <c r="D469" s="19" t="n"/>
      <c r="E469" s="19" t="n"/>
      <c r="F469" s="19" t="n"/>
      <c r="G469" s="19" t="n"/>
      <c r="H469" s="19" t="n"/>
      <c r="I469" s="19" t="n"/>
      <c r="J469" s="19" t="n"/>
      <c r="K469" s="20" t="n"/>
      <c r="L469" s="22">
        <f>IF(OR(B469="",K469=""),"",K469-B469)</f>
        <v/>
      </c>
      <c r="M469" s="19" t="n"/>
      <c r="N469" s="19" t="n"/>
      <c r="O469" s="20" t="n"/>
      <c r="P469" s="19" t="n"/>
    </row>
    <row r="470">
      <c r="A470" s="19" t="n"/>
      <c r="B470" s="20" t="n"/>
      <c r="C470" s="21">
        <f>IF(B470="","",DATE(YEAR(B470),MONTH(B470),1))</f>
        <v/>
      </c>
      <c r="D470" s="19" t="n"/>
      <c r="E470" s="19" t="n"/>
      <c r="F470" s="19" t="n"/>
      <c r="G470" s="19" t="n"/>
      <c r="H470" s="19" t="n"/>
      <c r="I470" s="19" t="n"/>
      <c r="J470" s="19" t="n"/>
      <c r="K470" s="20" t="n"/>
      <c r="L470" s="22">
        <f>IF(OR(B470="",K470=""),"",K470-B470)</f>
        <v/>
      </c>
      <c r="M470" s="19" t="n"/>
      <c r="N470" s="19" t="n"/>
      <c r="O470" s="20" t="n"/>
      <c r="P470" s="19" t="n"/>
    </row>
    <row r="471">
      <c r="A471" s="19" t="n"/>
      <c r="B471" s="20" t="n"/>
      <c r="C471" s="21">
        <f>IF(B471="","",DATE(YEAR(B471),MONTH(B471),1))</f>
        <v/>
      </c>
      <c r="D471" s="19" t="n"/>
      <c r="E471" s="19" t="n"/>
      <c r="F471" s="19" t="n"/>
      <c r="G471" s="19" t="n"/>
      <c r="H471" s="19" t="n"/>
      <c r="I471" s="19" t="n"/>
      <c r="J471" s="19" t="n"/>
      <c r="K471" s="20" t="n"/>
      <c r="L471" s="22">
        <f>IF(OR(B471="",K471=""),"",K471-B471)</f>
        <v/>
      </c>
      <c r="M471" s="19" t="n"/>
      <c r="N471" s="19" t="n"/>
      <c r="O471" s="20" t="n"/>
      <c r="P471" s="19" t="n"/>
    </row>
    <row r="472">
      <c r="A472" s="19" t="n"/>
      <c r="B472" s="20" t="n"/>
      <c r="C472" s="21">
        <f>IF(B472="","",DATE(YEAR(B472),MONTH(B472),1))</f>
        <v/>
      </c>
      <c r="D472" s="19" t="n"/>
      <c r="E472" s="19" t="n"/>
      <c r="F472" s="19" t="n"/>
      <c r="G472" s="19" t="n"/>
      <c r="H472" s="19" t="n"/>
      <c r="I472" s="19" t="n"/>
      <c r="J472" s="19" t="n"/>
      <c r="K472" s="20" t="n"/>
      <c r="L472" s="22">
        <f>IF(OR(B472="",K472=""),"",K472-B472)</f>
        <v/>
      </c>
      <c r="M472" s="19" t="n"/>
      <c r="N472" s="19" t="n"/>
      <c r="O472" s="20" t="n"/>
      <c r="P472" s="19" t="n"/>
    </row>
    <row r="473">
      <c r="A473" s="19" t="n"/>
      <c r="B473" s="20" t="n"/>
      <c r="C473" s="21">
        <f>IF(B473="","",DATE(YEAR(B473),MONTH(B473),1))</f>
        <v/>
      </c>
      <c r="D473" s="19" t="n"/>
      <c r="E473" s="19" t="n"/>
      <c r="F473" s="19" t="n"/>
      <c r="G473" s="19" t="n"/>
      <c r="H473" s="19" t="n"/>
      <c r="I473" s="19" t="n"/>
      <c r="J473" s="19" t="n"/>
      <c r="K473" s="20" t="n"/>
      <c r="L473" s="22">
        <f>IF(OR(B473="",K473=""),"",K473-B473)</f>
        <v/>
      </c>
      <c r="M473" s="19" t="n"/>
      <c r="N473" s="19" t="n"/>
      <c r="O473" s="20" t="n"/>
      <c r="P473" s="19" t="n"/>
    </row>
    <row r="474">
      <c r="A474" s="19" t="n"/>
      <c r="B474" s="20" t="n"/>
      <c r="C474" s="21">
        <f>IF(B474="","",DATE(YEAR(B474),MONTH(B474),1))</f>
        <v/>
      </c>
      <c r="D474" s="19" t="n"/>
      <c r="E474" s="19" t="n"/>
      <c r="F474" s="19" t="n"/>
      <c r="G474" s="19" t="n"/>
      <c r="H474" s="19" t="n"/>
      <c r="I474" s="19" t="n"/>
      <c r="J474" s="19" t="n"/>
      <c r="K474" s="20" t="n"/>
      <c r="L474" s="22">
        <f>IF(OR(B474="",K474=""),"",K474-B474)</f>
        <v/>
      </c>
      <c r="M474" s="19" t="n"/>
      <c r="N474" s="19" t="n"/>
      <c r="O474" s="20" t="n"/>
      <c r="P474" s="19" t="n"/>
    </row>
    <row r="475">
      <c r="A475" s="19" t="n"/>
      <c r="B475" s="20" t="n"/>
      <c r="C475" s="21">
        <f>IF(B475="","",DATE(YEAR(B475),MONTH(B475),1))</f>
        <v/>
      </c>
      <c r="D475" s="19" t="n"/>
      <c r="E475" s="19" t="n"/>
      <c r="F475" s="19" t="n"/>
      <c r="G475" s="19" t="n"/>
      <c r="H475" s="19" t="n"/>
      <c r="I475" s="19" t="n"/>
      <c r="J475" s="19" t="n"/>
      <c r="K475" s="20" t="n"/>
      <c r="L475" s="22">
        <f>IF(OR(B475="",K475=""),"",K475-B475)</f>
        <v/>
      </c>
      <c r="M475" s="19" t="n"/>
      <c r="N475" s="19" t="n"/>
      <c r="O475" s="20" t="n"/>
      <c r="P475" s="19" t="n"/>
    </row>
    <row r="476">
      <c r="A476" s="19" t="n"/>
      <c r="B476" s="20" t="n"/>
      <c r="C476" s="21">
        <f>IF(B476="","",DATE(YEAR(B476),MONTH(B476),1))</f>
        <v/>
      </c>
      <c r="D476" s="19" t="n"/>
      <c r="E476" s="19" t="n"/>
      <c r="F476" s="19" t="n"/>
      <c r="G476" s="19" t="n"/>
      <c r="H476" s="19" t="n"/>
      <c r="I476" s="19" t="n"/>
      <c r="J476" s="19" t="n"/>
      <c r="K476" s="20" t="n"/>
      <c r="L476" s="22">
        <f>IF(OR(B476="",K476=""),"",K476-B476)</f>
        <v/>
      </c>
      <c r="M476" s="19" t="n"/>
      <c r="N476" s="19" t="n"/>
      <c r="O476" s="20" t="n"/>
      <c r="P476" s="19" t="n"/>
    </row>
    <row r="477">
      <c r="A477" s="19" t="n"/>
      <c r="B477" s="20" t="n"/>
      <c r="C477" s="21">
        <f>IF(B477="","",DATE(YEAR(B477),MONTH(B477),1))</f>
        <v/>
      </c>
      <c r="D477" s="19" t="n"/>
      <c r="E477" s="19" t="n"/>
      <c r="F477" s="19" t="n"/>
      <c r="G477" s="19" t="n"/>
      <c r="H477" s="19" t="n"/>
      <c r="I477" s="19" t="n"/>
      <c r="J477" s="19" t="n"/>
      <c r="K477" s="20" t="n"/>
      <c r="L477" s="22">
        <f>IF(OR(B477="",K477=""),"",K477-B477)</f>
        <v/>
      </c>
      <c r="M477" s="19" t="n"/>
      <c r="N477" s="19" t="n"/>
      <c r="O477" s="20" t="n"/>
      <c r="P477" s="19" t="n"/>
    </row>
    <row r="478">
      <c r="A478" s="19" t="n"/>
      <c r="B478" s="20" t="n"/>
      <c r="C478" s="21">
        <f>IF(B478="","",DATE(YEAR(B478),MONTH(B478),1))</f>
        <v/>
      </c>
      <c r="D478" s="19" t="n"/>
      <c r="E478" s="19" t="n"/>
      <c r="F478" s="19" t="n"/>
      <c r="G478" s="19" t="n"/>
      <c r="H478" s="19" t="n"/>
      <c r="I478" s="19" t="n"/>
      <c r="J478" s="19" t="n"/>
      <c r="K478" s="20" t="n"/>
      <c r="L478" s="22">
        <f>IF(OR(B478="",K478=""),"",K478-B478)</f>
        <v/>
      </c>
      <c r="M478" s="19" t="n"/>
      <c r="N478" s="19" t="n"/>
      <c r="O478" s="20" t="n"/>
      <c r="P478" s="19" t="n"/>
    </row>
    <row r="479">
      <c r="A479" s="19" t="n"/>
      <c r="B479" s="20" t="n"/>
      <c r="C479" s="21">
        <f>IF(B479="","",DATE(YEAR(B479),MONTH(B479),1))</f>
        <v/>
      </c>
      <c r="D479" s="19" t="n"/>
      <c r="E479" s="19" t="n"/>
      <c r="F479" s="19" t="n"/>
      <c r="G479" s="19" t="n"/>
      <c r="H479" s="19" t="n"/>
      <c r="I479" s="19" t="n"/>
      <c r="J479" s="19" t="n"/>
      <c r="K479" s="20" t="n"/>
      <c r="L479" s="22">
        <f>IF(OR(B479="",K479=""),"",K479-B479)</f>
        <v/>
      </c>
      <c r="M479" s="19" t="n"/>
      <c r="N479" s="19" t="n"/>
      <c r="O479" s="20" t="n"/>
      <c r="P479" s="19" t="n"/>
    </row>
    <row r="480">
      <c r="A480" s="19" t="n"/>
      <c r="B480" s="20" t="n"/>
      <c r="C480" s="21">
        <f>IF(B480="","",DATE(YEAR(B480),MONTH(B480),1))</f>
        <v/>
      </c>
      <c r="D480" s="19" t="n"/>
      <c r="E480" s="19" t="n"/>
      <c r="F480" s="19" t="n"/>
      <c r="G480" s="19" t="n"/>
      <c r="H480" s="19" t="n"/>
      <c r="I480" s="19" t="n"/>
      <c r="J480" s="19" t="n"/>
      <c r="K480" s="20" t="n"/>
      <c r="L480" s="22">
        <f>IF(OR(B480="",K480=""),"",K480-B480)</f>
        <v/>
      </c>
      <c r="M480" s="19" t="n"/>
      <c r="N480" s="19" t="n"/>
      <c r="O480" s="20" t="n"/>
      <c r="P480" s="19" t="n"/>
    </row>
    <row r="481">
      <c r="A481" s="19" t="n"/>
      <c r="B481" s="20" t="n"/>
      <c r="C481" s="21">
        <f>IF(B481="","",DATE(YEAR(B481),MONTH(B481),1))</f>
        <v/>
      </c>
      <c r="D481" s="19" t="n"/>
      <c r="E481" s="19" t="n"/>
      <c r="F481" s="19" t="n"/>
      <c r="G481" s="19" t="n"/>
      <c r="H481" s="19" t="n"/>
      <c r="I481" s="19" t="n"/>
      <c r="J481" s="19" t="n"/>
      <c r="K481" s="20" t="n"/>
      <c r="L481" s="22">
        <f>IF(OR(B481="",K481=""),"",K481-B481)</f>
        <v/>
      </c>
      <c r="M481" s="19" t="n"/>
      <c r="N481" s="19" t="n"/>
      <c r="O481" s="20" t="n"/>
      <c r="P481" s="19" t="n"/>
    </row>
    <row r="482">
      <c r="A482" s="19" t="n"/>
      <c r="B482" s="20" t="n"/>
      <c r="C482" s="21">
        <f>IF(B482="","",DATE(YEAR(B482),MONTH(B482),1))</f>
        <v/>
      </c>
      <c r="D482" s="19" t="n"/>
      <c r="E482" s="19" t="n"/>
      <c r="F482" s="19" t="n"/>
      <c r="G482" s="19" t="n"/>
      <c r="H482" s="19" t="n"/>
      <c r="I482" s="19" t="n"/>
      <c r="J482" s="19" t="n"/>
      <c r="K482" s="20" t="n"/>
      <c r="L482" s="22">
        <f>IF(OR(B482="",K482=""),"",K482-B482)</f>
        <v/>
      </c>
      <c r="M482" s="19" t="n"/>
      <c r="N482" s="19" t="n"/>
      <c r="O482" s="20" t="n"/>
      <c r="P482" s="19" t="n"/>
    </row>
    <row r="483">
      <c r="A483" s="19" t="n"/>
      <c r="B483" s="20" t="n"/>
      <c r="C483" s="21">
        <f>IF(B483="","",DATE(YEAR(B483),MONTH(B483),1))</f>
        <v/>
      </c>
      <c r="D483" s="19" t="n"/>
      <c r="E483" s="19" t="n"/>
      <c r="F483" s="19" t="n"/>
      <c r="G483" s="19" t="n"/>
      <c r="H483" s="19" t="n"/>
      <c r="I483" s="19" t="n"/>
      <c r="J483" s="19" t="n"/>
      <c r="K483" s="20" t="n"/>
      <c r="L483" s="22">
        <f>IF(OR(B483="",K483=""),"",K483-B483)</f>
        <v/>
      </c>
      <c r="M483" s="19" t="n"/>
      <c r="N483" s="19" t="n"/>
      <c r="O483" s="20" t="n"/>
      <c r="P483" s="19" t="n"/>
    </row>
    <row r="484">
      <c r="A484" s="19" t="n"/>
      <c r="B484" s="20" t="n"/>
      <c r="C484" s="21">
        <f>IF(B484="","",DATE(YEAR(B484),MONTH(B484),1))</f>
        <v/>
      </c>
      <c r="D484" s="19" t="n"/>
      <c r="E484" s="19" t="n"/>
      <c r="F484" s="19" t="n"/>
      <c r="G484" s="19" t="n"/>
      <c r="H484" s="19" t="n"/>
      <c r="I484" s="19" t="n"/>
      <c r="J484" s="19" t="n"/>
      <c r="K484" s="20" t="n"/>
      <c r="L484" s="22">
        <f>IF(OR(B484="",K484=""),"",K484-B484)</f>
        <v/>
      </c>
      <c r="M484" s="19" t="n"/>
      <c r="N484" s="19" t="n"/>
      <c r="O484" s="20" t="n"/>
      <c r="P484" s="19" t="n"/>
    </row>
    <row r="485">
      <c r="A485" s="19" t="n"/>
      <c r="B485" s="20" t="n"/>
      <c r="C485" s="21">
        <f>IF(B485="","",DATE(YEAR(B485),MONTH(B485),1))</f>
        <v/>
      </c>
      <c r="D485" s="19" t="n"/>
      <c r="E485" s="19" t="n"/>
      <c r="F485" s="19" t="n"/>
      <c r="G485" s="19" t="n"/>
      <c r="H485" s="19" t="n"/>
      <c r="I485" s="19" t="n"/>
      <c r="J485" s="19" t="n"/>
      <c r="K485" s="20" t="n"/>
      <c r="L485" s="22">
        <f>IF(OR(B485="",K485=""),"",K485-B485)</f>
        <v/>
      </c>
      <c r="M485" s="19" t="n"/>
      <c r="N485" s="19" t="n"/>
      <c r="O485" s="20" t="n"/>
      <c r="P485" s="19" t="n"/>
    </row>
    <row r="486">
      <c r="A486" s="19" t="n"/>
      <c r="B486" s="20" t="n"/>
      <c r="C486" s="21">
        <f>IF(B486="","",DATE(YEAR(B486),MONTH(B486),1))</f>
        <v/>
      </c>
      <c r="D486" s="19" t="n"/>
      <c r="E486" s="19" t="n"/>
      <c r="F486" s="19" t="n"/>
      <c r="G486" s="19" t="n"/>
      <c r="H486" s="19" t="n"/>
      <c r="I486" s="19" t="n"/>
      <c r="J486" s="19" t="n"/>
      <c r="K486" s="20" t="n"/>
      <c r="L486" s="22">
        <f>IF(OR(B486="",K486=""),"",K486-B486)</f>
        <v/>
      </c>
      <c r="M486" s="19" t="n"/>
      <c r="N486" s="19" t="n"/>
      <c r="O486" s="20" t="n"/>
      <c r="P486" s="19" t="n"/>
    </row>
    <row r="487">
      <c r="A487" s="19" t="n"/>
      <c r="B487" s="20" t="n"/>
      <c r="C487" s="21">
        <f>IF(B487="","",DATE(YEAR(B487),MONTH(B487),1))</f>
        <v/>
      </c>
      <c r="D487" s="19" t="n"/>
      <c r="E487" s="19" t="n"/>
      <c r="F487" s="19" t="n"/>
      <c r="G487" s="19" t="n"/>
      <c r="H487" s="19" t="n"/>
      <c r="I487" s="19" t="n"/>
      <c r="J487" s="19" t="n"/>
      <c r="K487" s="20" t="n"/>
      <c r="L487" s="22">
        <f>IF(OR(B487="",K487=""),"",K487-B487)</f>
        <v/>
      </c>
      <c r="M487" s="19" t="n"/>
      <c r="N487" s="19" t="n"/>
      <c r="O487" s="20" t="n"/>
      <c r="P487" s="19" t="n"/>
    </row>
    <row r="488">
      <c r="A488" s="19" t="n"/>
      <c r="B488" s="20" t="n"/>
      <c r="C488" s="21">
        <f>IF(B488="","",DATE(YEAR(B488),MONTH(B488),1))</f>
        <v/>
      </c>
      <c r="D488" s="19" t="n"/>
      <c r="E488" s="19" t="n"/>
      <c r="F488" s="19" t="n"/>
      <c r="G488" s="19" t="n"/>
      <c r="H488" s="19" t="n"/>
      <c r="I488" s="19" t="n"/>
      <c r="J488" s="19" t="n"/>
      <c r="K488" s="20" t="n"/>
      <c r="L488" s="22">
        <f>IF(OR(B488="",K488=""),"",K488-B488)</f>
        <v/>
      </c>
      <c r="M488" s="19" t="n"/>
      <c r="N488" s="19" t="n"/>
      <c r="O488" s="20" t="n"/>
      <c r="P488" s="19" t="n"/>
    </row>
    <row r="489">
      <c r="A489" s="19" t="n"/>
      <c r="B489" s="20" t="n"/>
      <c r="C489" s="21">
        <f>IF(B489="","",DATE(YEAR(B489),MONTH(B489),1))</f>
        <v/>
      </c>
      <c r="D489" s="19" t="n"/>
      <c r="E489" s="19" t="n"/>
      <c r="F489" s="19" t="n"/>
      <c r="G489" s="19" t="n"/>
      <c r="H489" s="19" t="n"/>
      <c r="I489" s="19" t="n"/>
      <c r="J489" s="19" t="n"/>
      <c r="K489" s="20" t="n"/>
      <c r="L489" s="22">
        <f>IF(OR(B489="",K489=""),"",K489-B489)</f>
        <v/>
      </c>
      <c r="M489" s="19" t="n"/>
      <c r="N489" s="19" t="n"/>
      <c r="O489" s="20" t="n"/>
      <c r="P489" s="19" t="n"/>
    </row>
    <row r="490">
      <c r="A490" s="19" t="n"/>
      <c r="B490" s="20" t="n"/>
      <c r="C490" s="21">
        <f>IF(B490="","",DATE(YEAR(B490),MONTH(B490),1))</f>
        <v/>
      </c>
      <c r="D490" s="19" t="n"/>
      <c r="E490" s="19" t="n"/>
      <c r="F490" s="19" t="n"/>
      <c r="G490" s="19" t="n"/>
      <c r="H490" s="19" t="n"/>
      <c r="I490" s="19" t="n"/>
      <c r="J490" s="19" t="n"/>
      <c r="K490" s="20" t="n"/>
      <c r="L490" s="22">
        <f>IF(OR(B490="",K490=""),"",K490-B490)</f>
        <v/>
      </c>
      <c r="M490" s="19" t="n"/>
      <c r="N490" s="19" t="n"/>
      <c r="O490" s="20" t="n"/>
      <c r="P490" s="19" t="n"/>
    </row>
    <row r="491">
      <c r="A491" s="19" t="n"/>
      <c r="B491" s="20" t="n"/>
      <c r="C491" s="21">
        <f>IF(B491="","",DATE(YEAR(B491),MONTH(B491),1))</f>
        <v/>
      </c>
      <c r="D491" s="19" t="n"/>
      <c r="E491" s="19" t="n"/>
      <c r="F491" s="19" t="n"/>
      <c r="G491" s="19" t="n"/>
      <c r="H491" s="19" t="n"/>
      <c r="I491" s="19" t="n"/>
      <c r="J491" s="19" t="n"/>
      <c r="K491" s="20" t="n"/>
      <c r="L491" s="22">
        <f>IF(OR(B491="",K491=""),"",K491-B491)</f>
        <v/>
      </c>
      <c r="M491" s="19" t="n"/>
      <c r="N491" s="19" t="n"/>
      <c r="O491" s="20" t="n"/>
      <c r="P491" s="19" t="n"/>
    </row>
    <row r="492">
      <c r="A492" s="19" t="n"/>
      <c r="B492" s="20" t="n"/>
      <c r="C492" s="21">
        <f>IF(B492="","",DATE(YEAR(B492),MONTH(B492),1))</f>
        <v/>
      </c>
      <c r="D492" s="19" t="n"/>
      <c r="E492" s="19" t="n"/>
      <c r="F492" s="19" t="n"/>
      <c r="G492" s="19" t="n"/>
      <c r="H492" s="19" t="n"/>
      <c r="I492" s="19" t="n"/>
      <c r="J492" s="19" t="n"/>
      <c r="K492" s="20" t="n"/>
      <c r="L492" s="22">
        <f>IF(OR(B492="",K492=""),"",K492-B492)</f>
        <v/>
      </c>
      <c r="M492" s="19" t="n"/>
      <c r="N492" s="19" t="n"/>
      <c r="O492" s="20" t="n"/>
      <c r="P492" s="19" t="n"/>
    </row>
    <row r="493">
      <c r="A493" s="19" t="n"/>
      <c r="B493" s="20" t="n"/>
      <c r="C493" s="21">
        <f>IF(B493="","",DATE(YEAR(B493),MONTH(B493),1))</f>
        <v/>
      </c>
      <c r="D493" s="19" t="n"/>
      <c r="E493" s="19" t="n"/>
      <c r="F493" s="19" t="n"/>
      <c r="G493" s="19" t="n"/>
      <c r="H493" s="19" t="n"/>
      <c r="I493" s="19" t="n"/>
      <c r="J493" s="19" t="n"/>
      <c r="K493" s="20" t="n"/>
      <c r="L493" s="22">
        <f>IF(OR(B493="",K493=""),"",K493-B493)</f>
        <v/>
      </c>
      <c r="M493" s="19" t="n"/>
      <c r="N493" s="19" t="n"/>
      <c r="O493" s="20" t="n"/>
      <c r="P493" s="19" t="n"/>
    </row>
    <row r="494">
      <c r="A494" s="19" t="n"/>
      <c r="B494" s="20" t="n"/>
      <c r="C494" s="21">
        <f>IF(B494="","",DATE(YEAR(B494),MONTH(B494),1))</f>
        <v/>
      </c>
      <c r="D494" s="19" t="n"/>
      <c r="E494" s="19" t="n"/>
      <c r="F494" s="19" t="n"/>
      <c r="G494" s="19" t="n"/>
      <c r="H494" s="19" t="n"/>
      <c r="I494" s="19" t="n"/>
      <c r="J494" s="19" t="n"/>
      <c r="K494" s="20" t="n"/>
      <c r="L494" s="22">
        <f>IF(OR(B494="",K494=""),"",K494-B494)</f>
        <v/>
      </c>
      <c r="M494" s="19" t="n"/>
      <c r="N494" s="19" t="n"/>
      <c r="O494" s="20" t="n"/>
      <c r="P494" s="19" t="n"/>
    </row>
    <row r="495">
      <c r="A495" s="19" t="n"/>
      <c r="B495" s="20" t="n"/>
      <c r="C495" s="21">
        <f>IF(B495="","",DATE(YEAR(B495),MONTH(B495),1))</f>
        <v/>
      </c>
      <c r="D495" s="19" t="n"/>
      <c r="E495" s="19" t="n"/>
      <c r="F495" s="19" t="n"/>
      <c r="G495" s="19" t="n"/>
      <c r="H495" s="19" t="n"/>
      <c r="I495" s="19" t="n"/>
      <c r="J495" s="19" t="n"/>
      <c r="K495" s="20" t="n"/>
      <c r="L495" s="22">
        <f>IF(OR(B495="",K495=""),"",K495-B495)</f>
        <v/>
      </c>
      <c r="M495" s="19" t="n"/>
      <c r="N495" s="19" t="n"/>
      <c r="O495" s="20" t="n"/>
      <c r="P495" s="19" t="n"/>
    </row>
    <row r="496">
      <c r="A496" s="19" t="n"/>
      <c r="B496" s="20" t="n"/>
      <c r="C496" s="21">
        <f>IF(B496="","",DATE(YEAR(B496),MONTH(B496),1))</f>
        <v/>
      </c>
      <c r="D496" s="19" t="n"/>
      <c r="E496" s="19" t="n"/>
      <c r="F496" s="19" t="n"/>
      <c r="G496" s="19" t="n"/>
      <c r="H496" s="19" t="n"/>
      <c r="I496" s="19" t="n"/>
      <c r="J496" s="19" t="n"/>
      <c r="K496" s="20" t="n"/>
      <c r="L496" s="22">
        <f>IF(OR(B496="",K496=""),"",K496-B496)</f>
        <v/>
      </c>
      <c r="M496" s="19" t="n"/>
      <c r="N496" s="19" t="n"/>
      <c r="O496" s="20" t="n"/>
      <c r="P496" s="19" t="n"/>
    </row>
    <row r="497">
      <c r="A497" s="19" t="n"/>
      <c r="B497" s="20" t="n"/>
      <c r="C497" s="21">
        <f>IF(B497="","",DATE(YEAR(B497),MONTH(B497),1))</f>
        <v/>
      </c>
      <c r="D497" s="19" t="n"/>
      <c r="E497" s="19" t="n"/>
      <c r="F497" s="19" t="n"/>
      <c r="G497" s="19" t="n"/>
      <c r="H497" s="19" t="n"/>
      <c r="I497" s="19" t="n"/>
      <c r="J497" s="19" t="n"/>
      <c r="K497" s="20" t="n"/>
      <c r="L497" s="22">
        <f>IF(OR(B497="",K497=""),"",K497-B497)</f>
        <v/>
      </c>
      <c r="M497" s="19" t="n"/>
      <c r="N497" s="19" t="n"/>
      <c r="O497" s="20" t="n"/>
      <c r="P497" s="19" t="n"/>
    </row>
    <row r="498">
      <c r="A498" s="19" t="n"/>
      <c r="B498" s="20" t="n"/>
      <c r="C498" s="21">
        <f>IF(B498="","",DATE(YEAR(B498),MONTH(B498),1))</f>
        <v/>
      </c>
      <c r="D498" s="19" t="n"/>
      <c r="E498" s="19" t="n"/>
      <c r="F498" s="19" t="n"/>
      <c r="G498" s="19" t="n"/>
      <c r="H498" s="19" t="n"/>
      <c r="I498" s="19" t="n"/>
      <c r="J498" s="19" t="n"/>
      <c r="K498" s="20" t="n"/>
      <c r="L498" s="22">
        <f>IF(OR(B498="",K498=""),"",K498-B498)</f>
        <v/>
      </c>
      <c r="M498" s="19" t="n"/>
      <c r="N498" s="19" t="n"/>
      <c r="O498" s="20" t="n"/>
      <c r="P498" s="19" t="n"/>
    </row>
    <row r="499">
      <c r="A499" s="19" t="n"/>
      <c r="B499" s="20" t="n"/>
      <c r="C499" s="21">
        <f>IF(B499="","",DATE(YEAR(B499),MONTH(B499),1))</f>
        <v/>
      </c>
      <c r="D499" s="19" t="n"/>
      <c r="E499" s="19" t="n"/>
      <c r="F499" s="19" t="n"/>
      <c r="G499" s="19" t="n"/>
      <c r="H499" s="19" t="n"/>
      <c r="I499" s="19" t="n"/>
      <c r="J499" s="19" t="n"/>
      <c r="K499" s="20" t="n"/>
      <c r="L499" s="22">
        <f>IF(OR(B499="",K499=""),"",K499-B499)</f>
        <v/>
      </c>
      <c r="M499" s="19" t="n"/>
      <c r="N499" s="19" t="n"/>
      <c r="O499" s="20" t="n"/>
      <c r="P499" s="19" t="n"/>
    </row>
    <row r="500">
      <c r="A500" s="19" t="n"/>
      <c r="B500" s="20" t="n"/>
      <c r="C500" s="21">
        <f>IF(B500="","",DATE(YEAR(B500),MONTH(B500),1))</f>
        <v/>
      </c>
      <c r="D500" s="19" t="n"/>
      <c r="E500" s="19" t="n"/>
      <c r="F500" s="19" t="n"/>
      <c r="G500" s="19" t="n"/>
      <c r="H500" s="19" t="n"/>
      <c r="I500" s="19" t="n"/>
      <c r="J500" s="19" t="n"/>
      <c r="K500" s="20" t="n"/>
      <c r="L500" s="22">
        <f>IF(OR(B500="",K500=""),"",K500-B500)</f>
        <v/>
      </c>
      <c r="M500" s="19" t="n"/>
      <c r="N500" s="19" t="n"/>
      <c r="O500" s="20" t="n"/>
      <c r="P500" s="19" t="n"/>
    </row>
    <row r="501">
      <c r="A501" s="19" t="n"/>
      <c r="B501" s="20" t="n"/>
      <c r="C501" s="21">
        <f>IF(B501="","",DATE(YEAR(B501),MONTH(B501),1))</f>
        <v/>
      </c>
      <c r="D501" s="19" t="n"/>
      <c r="E501" s="19" t="n"/>
      <c r="F501" s="19" t="n"/>
      <c r="G501" s="19" t="n"/>
      <c r="H501" s="19" t="n"/>
      <c r="I501" s="19" t="n"/>
      <c r="J501" s="19" t="n"/>
      <c r="K501" s="20" t="n"/>
      <c r="L501" s="22">
        <f>IF(OR(B501="",K501=""),"",K501-B501)</f>
        <v/>
      </c>
      <c r="M501" s="19" t="n"/>
      <c r="N501" s="19" t="n"/>
      <c r="O501" s="20" t="n"/>
      <c r="P501" s="19" t="n"/>
    </row>
    <row r="502">
      <c r="A502" s="19" t="n"/>
      <c r="B502" s="20" t="n"/>
      <c r="C502" s="21">
        <f>IF(B502="","",DATE(YEAR(B502),MONTH(B502),1))</f>
        <v/>
      </c>
      <c r="D502" s="19" t="n"/>
      <c r="E502" s="19" t="n"/>
      <c r="F502" s="19" t="n"/>
      <c r="G502" s="19" t="n"/>
      <c r="H502" s="19" t="n"/>
      <c r="I502" s="19" t="n"/>
      <c r="J502" s="19" t="n"/>
      <c r="K502" s="20" t="n"/>
      <c r="L502" s="22">
        <f>IF(OR(B502="",K502=""),"",K502-B502)</f>
        <v/>
      </c>
      <c r="M502" s="19" t="n"/>
      <c r="N502" s="19" t="n"/>
      <c r="O502" s="20" t="n"/>
      <c r="P502" s="19" t="n"/>
    </row>
    <row r="503">
      <c r="A503" s="19" t="n"/>
      <c r="B503" s="20" t="n"/>
      <c r="C503" s="21">
        <f>IF(B503="","",DATE(YEAR(B503),MONTH(B503),1))</f>
        <v/>
      </c>
      <c r="D503" s="19" t="n"/>
      <c r="E503" s="19" t="n"/>
      <c r="F503" s="19" t="n"/>
      <c r="G503" s="19" t="n"/>
      <c r="H503" s="19" t="n"/>
      <c r="I503" s="19" t="n"/>
      <c r="J503" s="19" t="n"/>
      <c r="K503" s="20" t="n"/>
      <c r="L503" s="22">
        <f>IF(OR(B503="",K503=""),"",K503-B503)</f>
        <v/>
      </c>
      <c r="M503" s="19" t="n"/>
      <c r="N503" s="19" t="n"/>
      <c r="O503" s="20" t="n"/>
      <c r="P503" s="19" t="n"/>
    </row>
    <row r="504">
      <c r="A504" s="19" t="n"/>
      <c r="B504" s="20" t="n"/>
      <c r="C504" s="21">
        <f>IF(B504="","",DATE(YEAR(B504),MONTH(B504),1))</f>
        <v/>
      </c>
      <c r="D504" s="19" t="n"/>
      <c r="E504" s="19" t="n"/>
      <c r="F504" s="19" t="n"/>
      <c r="G504" s="19" t="n"/>
      <c r="H504" s="19" t="n"/>
      <c r="I504" s="19" t="n"/>
      <c r="J504" s="19" t="n"/>
      <c r="K504" s="20" t="n"/>
      <c r="L504" s="22">
        <f>IF(OR(B504="",K504=""),"",K504-B504)</f>
        <v/>
      </c>
      <c r="M504" s="19" t="n"/>
      <c r="N504" s="19" t="n"/>
      <c r="O504" s="20" t="n"/>
      <c r="P504" s="19" t="n"/>
    </row>
    <row r="505">
      <c r="A505" s="19" t="n"/>
      <c r="B505" s="20" t="n"/>
      <c r="C505" s="21">
        <f>IF(B505="","",DATE(YEAR(B505),MONTH(B505),1))</f>
        <v/>
      </c>
      <c r="D505" s="19" t="n"/>
      <c r="E505" s="19" t="n"/>
      <c r="F505" s="19" t="n"/>
      <c r="G505" s="19" t="n"/>
      <c r="H505" s="19" t="n"/>
      <c r="I505" s="19" t="n"/>
      <c r="J505" s="19" t="n"/>
      <c r="K505" s="20" t="n"/>
      <c r="L505" s="22">
        <f>IF(OR(B505="",K505=""),"",K505-B505)</f>
        <v/>
      </c>
      <c r="M505" s="19" t="n"/>
      <c r="N505" s="19" t="n"/>
      <c r="O505" s="20" t="n"/>
      <c r="P505" s="19" t="n"/>
    </row>
    <row r="506">
      <c r="A506" s="19" t="n"/>
      <c r="B506" s="20" t="n"/>
      <c r="C506" s="21">
        <f>IF(B506="","",DATE(YEAR(B506),MONTH(B506),1))</f>
        <v/>
      </c>
      <c r="D506" s="19" t="n"/>
      <c r="E506" s="19" t="n"/>
      <c r="F506" s="19" t="n"/>
      <c r="G506" s="19" t="n"/>
      <c r="H506" s="19" t="n"/>
      <c r="I506" s="19" t="n"/>
      <c r="J506" s="19" t="n"/>
      <c r="K506" s="20" t="n"/>
      <c r="L506" s="22">
        <f>IF(OR(B506="",K506=""),"",K506-B506)</f>
        <v/>
      </c>
      <c r="M506" s="19" t="n"/>
      <c r="N506" s="19" t="n"/>
      <c r="O506" s="20" t="n"/>
      <c r="P506" s="19" t="n"/>
    </row>
    <row r="507">
      <c r="A507" s="19" t="n"/>
      <c r="B507" s="20" t="n"/>
      <c r="C507" s="21">
        <f>IF(B507="","",DATE(YEAR(B507),MONTH(B507),1))</f>
        <v/>
      </c>
      <c r="D507" s="19" t="n"/>
      <c r="E507" s="19" t="n"/>
      <c r="F507" s="19" t="n"/>
      <c r="G507" s="19" t="n"/>
      <c r="H507" s="19" t="n"/>
      <c r="I507" s="19" t="n"/>
      <c r="J507" s="19" t="n"/>
      <c r="K507" s="20" t="n"/>
      <c r="L507" s="22">
        <f>IF(OR(B507="",K507=""),"",K507-B507)</f>
        <v/>
      </c>
      <c r="M507" s="19" t="n"/>
      <c r="N507" s="19" t="n"/>
      <c r="O507" s="20" t="n"/>
      <c r="P507" s="19" t="n"/>
    </row>
    <row r="508">
      <c r="A508" s="19" t="n"/>
      <c r="B508" s="20" t="n"/>
      <c r="C508" s="21">
        <f>IF(B508="","",DATE(YEAR(B508),MONTH(B508),1))</f>
        <v/>
      </c>
      <c r="D508" s="19" t="n"/>
      <c r="E508" s="19" t="n"/>
      <c r="F508" s="19" t="n"/>
      <c r="G508" s="19" t="n"/>
      <c r="H508" s="19" t="n"/>
      <c r="I508" s="19" t="n"/>
      <c r="J508" s="19" t="n"/>
      <c r="K508" s="20" t="n"/>
      <c r="L508" s="22">
        <f>IF(OR(B508="",K508=""),"",K508-B508)</f>
        <v/>
      </c>
      <c r="M508" s="19" t="n"/>
      <c r="N508" s="19" t="n"/>
      <c r="O508" s="20" t="n"/>
      <c r="P508" s="19" t="n"/>
    </row>
    <row r="509">
      <c r="A509" s="19" t="n"/>
      <c r="B509" s="20" t="n"/>
      <c r="C509" s="21">
        <f>IF(B509="","",DATE(YEAR(B509),MONTH(B509),1))</f>
        <v/>
      </c>
      <c r="D509" s="19" t="n"/>
      <c r="E509" s="19" t="n"/>
      <c r="F509" s="19" t="n"/>
      <c r="G509" s="19" t="n"/>
      <c r="H509" s="19" t="n"/>
      <c r="I509" s="19" t="n"/>
      <c r="J509" s="19" t="n"/>
      <c r="K509" s="20" t="n"/>
      <c r="L509" s="22">
        <f>IF(OR(B509="",K509=""),"",K509-B509)</f>
        <v/>
      </c>
      <c r="M509" s="19" t="n"/>
      <c r="N509" s="19" t="n"/>
      <c r="O509" s="20" t="n"/>
      <c r="P509" s="19" t="n"/>
    </row>
    <row r="510">
      <c r="A510" s="19" t="n"/>
      <c r="B510" s="20" t="n"/>
      <c r="C510" s="21">
        <f>IF(B510="","",DATE(YEAR(B510),MONTH(B510),1))</f>
        <v/>
      </c>
      <c r="D510" s="19" t="n"/>
      <c r="E510" s="19" t="n"/>
      <c r="F510" s="19" t="n"/>
      <c r="G510" s="19" t="n"/>
      <c r="H510" s="19" t="n"/>
      <c r="I510" s="19" t="n"/>
      <c r="J510" s="19" t="n"/>
      <c r="K510" s="20" t="n"/>
      <c r="L510" s="22">
        <f>IF(OR(B510="",K510=""),"",K510-B510)</f>
        <v/>
      </c>
      <c r="M510" s="19" t="n"/>
      <c r="N510" s="19" t="n"/>
      <c r="O510" s="20" t="n"/>
      <c r="P510" s="19" t="n"/>
    </row>
    <row r="511">
      <c r="A511" s="19" t="n"/>
      <c r="B511" s="20" t="n"/>
      <c r="C511" s="21">
        <f>IF(B511="","",DATE(YEAR(B511),MONTH(B511),1))</f>
        <v/>
      </c>
      <c r="D511" s="19" t="n"/>
      <c r="E511" s="19" t="n"/>
      <c r="F511" s="19" t="n"/>
      <c r="G511" s="19" t="n"/>
      <c r="H511" s="19" t="n"/>
      <c r="I511" s="19" t="n"/>
      <c r="J511" s="19" t="n"/>
      <c r="K511" s="20" t="n"/>
      <c r="L511" s="22">
        <f>IF(OR(B511="",K511=""),"",K511-B511)</f>
        <v/>
      </c>
      <c r="M511" s="19" t="n"/>
      <c r="N511" s="19" t="n"/>
      <c r="O511" s="20" t="n"/>
      <c r="P511" s="19" t="n"/>
    </row>
    <row r="512">
      <c r="A512" s="19" t="n"/>
      <c r="B512" s="20" t="n"/>
      <c r="C512" s="21">
        <f>IF(B512="","",DATE(YEAR(B512),MONTH(B512),1))</f>
        <v/>
      </c>
      <c r="D512" s="19" t="n"/>
      <c r="E512" s="19" t="n"/>
      <c r="F512" s="19" t="n"/>
      <c r="G512" s="19" t="n"/>
      <c r="H512" s="19" t="n"/>
      <c r="I512" s="19" t="n"/>
      <c r="J512" s="19" t="n"/>
      <c r="K512" s="20" t="n"/>
      <c r="L512" s="22">
        <f>IF(OR(B512="",K512=""),"",K512-B512)</f>
        <v/>
      </c>
      <c r="M512" s="19" t="n"/>
      <c r="N512" s="19" t="n"/>
      <c r="O512" s="20" t="n"/>
      <c r="P512" s="19" t="n"/>
    </row>
    <row r="513">
      <c r="A513" s="19" t="n"/>
      <c r="B513" s="20" t="n"/>
      <c r="C513" s="21">
        <f>IF(B513="","",DATE(YEAR(B513),MONTH(B513),1))</f>
        <v/>
      </c>
      <c r="D513" s="19" t="n"/>
      <c r="E513" s="19" t="n"/>
      <c r="F513" s="19" t="n"/>
      <c r="G513" s="19" t="n"/>
      <c r="H513" s="19" t="n"/>
      <c r="I513" s="19" t="n"/>
      <c r="J513" s="19" t="n"/>
      <c r="K513" s="20" t="n"/>
      <c r="L513" s="22">
        <f>IF(OR(B513="",K513=""),"",K513-B513)</f>
        <v/>
      </c>
      <c r="M513" s="19" t="n"/>
      <c r="N513" s="19" t="n"/>
      <c r="O513" s="20" t="n"/>
      <c r="P513" s="19" t="n"/>
    </row>
    <row r="514">
      <c r="A514" s="19" t="n"/>
      <c r="B514" s="20" t="n"/>
      <c r="C514" s="21">
        <f>IF(B514="","",DATE(YEAR(B514),MONTH(B514),1))</f>
        <v/>
      </c>
      <c r="D514" s="19" t="n"/>
      <c r="E514" s="19" t="n"/>
      <c r="F514" s="19" t="n"/>
      <c r="G514" s="19" t="n"/>
      <c r="H514" s="19" t="n"/>
      <c r="I514" s="19" t="n"/>
      <c r="J514" s="19" t="n"/>
      <c r="K514" s="20" t="n"/>
      <c r="L514" s="22">
        <f>IF(OR(B514="",K514=""),"",K514-B514)</f>
        <v/>
      </c>
      <c r="M514" s="19" t="n"/>
      <c r="N514" s="19" t="n"/>
      <c r="O514" s="20" t="n"/>
      <c r="P514" s="19" t="n"/>
    </row>
    <row r="515">
      <c r="A515" s="19" t="n"/>
      <c r="B515" s="20" t="n"/>
      <c r="C515" s="21">
        <f>IF(B515="","",DATE(YEAR(B515),MONTH(B515),1))</f>
        <v/>
      </c>
      <c r="D515" s="19" t="n"/>
      <c r="E515" s="19" t="n"/>
      <c r="F515" s="19" t="n"/>
      <c r="G515" s="19" t="n"/>
      <c r="H515" s="19" t="n"/>
      <c r="I515" s="19" t="n"/>
      <c r="J515" s="19" t="n"/>
      <c r="K515" s="20" t="n"/>
      <c r="L515" s="22">
        <f>IF(OR(B515="",K515=""),"",K515-B515)</f>
        <v/>
      </c>
      <c r="M515" s="19" t="n"/>
      <c r="N515" s="19" t="n"/>
      <c r="O515" s="20" t="n"/>
      <c r="P515" s="19" t="n"/>
    </row>
    <row r="516">
      <c r="A516" s="19" t="n"/>
      <c r="B516" s="20" t="n"/>
      <c r="C516" s="21">
        <f>IF(B516="","",DATE(YEAR(B516),MONTH(B516),1))</f>
        <v/>
      </c>
      <c r="D516" s="19" t="n"/>
      <c r="E516" s="19" t="n"/>
      <c r="F516" s="19" t="n"/>
      <c r="G516" s="19" t="n"/>
      <c r="H516" s="19" t="n"/>
      <c r="I516" s="19" t="n"/>
      <c r="J516" s="19" t="n"/>
      <c r="K516" s="20" t="n"/>
      <c r="L516" s="22">
        <f>IF(OR(B516="",K516=""),"",K516-B516)</f>
        <v/>
      </c>
      <c r="M516" s="19" t="n"/>
      <c r="N516" s="19" t="n"/>
      <c r="O516" s="20" t="n"/>
      <c r="P516" s="19" t="n"/>
    </row>
    <row r="517">
      <c r="A517" s="19" t="n"/>
      <c r="B517" s="20" t="n"/>
      <c r="C517" s="21">
        <f>IF(B517="","",DATE(YEAR(B517),MONTH(B517),1))</f>
        <v/>
      </c>
      <c r="D517" s="19" t="n"/>
      <c r="E517" s="19" t="n"/>
      <c r="F517" s="19" t="n"/>
      <c r="G517" s="19" t="n"/>
      <c r="H517" s="19" t="n"/>
      <c r="I517" s="19" t="n"/>
      <c r="J517" s="19" t="n"/>
      <c r="K517" s="20" t="n"/>
      <c r="L517" s="22">
        <f>IF(OR(B517="",K517=""),"",K517-B517)</f>
        <v/>
      </c>
      <c r="M517" s="19" t="n"/>
      <c r="N517" s="19" t="n"/>
      <c r="O517" s="20" t="n"/>
      <c r="P517" s="19" t="n"/>
    </row>
    <row r="518">
      <c r="A518" s="19" t="n"/>
      <c r="B518" s="20" t="n"/>
      <c r="C518" s="21">
        <f>IF(B518="","",DATE(YEAR(B518),MONTH(B518),1))</f>
        <v/>
      </c>
      <c r="D518" s="19" t="n"/>
      <c r="E518" s="19" t="n"/>
      <c r="F518" s="19" t="n"/>
      <c r="G518" s="19" t="n"/>
      <c r="H518" s="19" t="n"/>
      <c r="I518" s="19" t="n"/>
      <c r="J518" s="19" t="n"/>
      <c r="K518" s="20" t="n"/>
      <c r="L518" s="22">
        <f>IF(OR(B518="",K518=""),"",K518-B518)</f>
        <v/>
      </c>
      <c r="M518" s="19" t="n"/>
      <c r="N518" s="19" t="n"/>
      <c r="O518" s="20" t="n"/>
      <c r="P518" s="19" t="n"/>
    </row>
    <row r="519">
      <c r="A519" s="19" t="n"/>
      <c r="B519" s="20" t="n"/>
      <c r="C519" s="21">
        <f>IF(B519="","",DATE(YEAR(B519),MONTH(B519),1))</f>
        <v/>
      </c>
      <c r="D519" s="19" t="n"/>
      <c r="E519" s="19" t="n"/>
      <c r="F519" s="19" t="n"/>
      <c r="G519" s="19" t="n"/>
      <c r="H519" s="19" t="n"/>
      <c r="I519" s="19" t="n"/>
      <c r="J519" s="19" t="n"/>
      <c r="K519" s="20" t="n"/>
      <c r="L519" s="22">
        <f>IF(OR(B519="",K519=""),"",K519-B519)</f>
        <v/>
      </c>
      <c r="M519" s="19" t="n"/>
      <c r="N519" s="19" t="n"/>
      <c r="O519" s="20" t="n"/>
      <c r="P519" s="19" t="n"/>
    </row>
    <row r="520">
      <c r="A520" s="19" t="n"/>
      <c r="B520" s="20" t="n"/>
      <c r="C520" s="21">
        <f>IF(B520="","",DATE(YEAR(B520),MONTH(B520),1))</f>
        <v/>
      </c>
      <c r="D520" s="19" t="n"/>
      <c r="E520" s="19" t="n"/>
      <c r="F520" s="19" t="n"/>
      <c r="G520" s="19" t="n"/>
      <c r="H520" s="19" t="n"/>
      <c r="I520" s="19" t="n"/>
      <c r="J520" s="19" t="n"/>
      <c r="K520" s="20" t="n"/>
      <c r="L520" s="22">
        <f>IF(OR(B520="",K520=""),"",K520-B520)</f>
        <v/>
      </c>
      <c r="M520" s="19" t="n"/>
      <c r="N520" s="19" t="n"/>
      <c r="O520" s="20" t="n"/>
      <c r="P520" s="19" t="n"/>
    </row>
    <row r="521">
      <c r="A521" s="19" t="n"/>
      <c r="B521" s="20" t="n"/>
      <c r="C521" s="21">
        <f>IF(B521="","",DATE(YEAR(B521),MONTH(B521),1))</f>
        <v/>
      </c>
      <c r="D521" s="19" t="n"/>
      <c r="E521" s="19" t="n"/>
      <c r="F521" s="19" t="n"/>
      <c r="G521" s="19" t="n"/>
      <c r="H521" s="19" t="n"/>
      <c r="I521" s="19" t="n"/>
      <c r="J521" s="19" t="n"/>
      <c r="K521" s="20" t="n"/>
      <c r="L521" s="22">
        <f>IF(OR(B521="",K521=""),"",K521-B521)</f>
        <v/>
      </c>
      <c r="M521" s="19" t="n"/>
      <c r="N521" s="19" t="n"/>
      <c r="O521" s="20" t="n"/>
      <c r="P521" s="19" t="n"/>
    </row>
    <row r="522">
      <c r="A522" s="19" t="n"/>
      <c r="B522" s="20" t="n"/>
      <c r="C522" s="21">
        <f>IF(B522="","",DATE(YEAR(B522),MONTH(B522),1))</f>
        <v/>
      </c>
      <c r="D522" s="19" t="n"/>
      <c r="E522" s="19" t="n"/>
      <c r="F522" s="19" t="n"/>
      <c r="G522" s="19" t="n"/>
      <c r="H522" s="19" t="n"/>
      <c r="I522" s="19" t="n"/>
      <c r="J522" s="19" t="n"/>
      <c r="K522" s="20" t="n"/>
      <c r="L522" s="22">
        <f>IF(OR(B522="",K522=""),"",K522-B522)</f>
        <v/>
      </c>
      <c r="M522" s="19" t="n"/>
      <c r="N522" s="19" t="n"/>
      <c r="O522" s="20" t="n"/>
      <c r="P522" s="19" t="n"/>
    </row>
    <row r="523">
      <c r="A523" s="19" t="n"/>
      <c r="B523" s="20" t="n"/>
      <c r="C523" s="21">
        <f>IF(B523="","",DATE(YEAR(B523),MONTH(B523),1))</f>
        <v/>
      </c>
      <c r="D523" s="19" t="n"/>
      <c r="E523" s="19" t="n"/>
      <c r="F523" s="19" t="n"/>
      <c r="G523" s="19" t="n"/>
      <c r="H523" s="19" t="n"/>
      <c r="I523" s="19" t="n"/>
      <c r="J523" s="19" t="n"/>
      <c r="K523" s="20" t="n"/>
      <c r="L523" s="22">
        <f>IF(OR(B523="",K523=""),"",K523-B523)</f>
        <v/>
      </c>
      <c r="M523" s="19" t="n"/>
      <c r="N523" s="19" t="n"/>
      <c r="O523" s="20" t="n"/>
      <c r="P523" s="19" t="n"/>
    </row>
    <row r="524">
      <c r="A524" s="19" t="n"/>
      <c r="B524" s="20" t="n"/>
      <c r="C524" s="21">
        <f>IF(B524="","",DATE(YEAR(B524),MONTH(B524),1))</f>
        <v/>
      </c>
      <c r="D524" s="19" t="n"/>
      <c r="E524" s="19" t="n"/>
      <c r="F524" s="19" t="n"/>
      <c r="G524" s="19" t="n"/>
      <c r="H524" s="19" t="n"/>
      <c r="I524" s="19" t="n"/>
      <c r="J524" s="19" t="n"/>
      <c r="K524" s="20" t="n"/>
      <c r="L524" s="22">
        <f>IF(OR(B524="",K524=""),"",K524-B524)</f>
        <v/>
      </c>
      <c r="M524" s="19" t="n"/>
      <c r="N524" s="19" t="n"/>
      <c r="O524" s="20" t="n"/>
      <c r="P524" s="19" t="n"/>
    </row>
    <row r="525">
      <c r="A525" s="19" t="n"/>
      <c r="B525" s="20" t="n"/>
      <c r="C525" s="21">
        <f>IF(B525="","",DATE(YEAR(B525),MONTH(B525),1))</f>
        <v/>
      </c>
      <c r="D525" s="19" t="n"/>
      <c r="E525" s="19" t="n"/>
      <c r="F525" s="19" t="n"/>
      <c r="G525" s="19" t="n"/>
      <c r="H525" s="19" t="n"/>
      <c r="I525" s="19" t="n"/>
      <c r="J525" s="19" t="n"/>
      <c r="K525" s="20" t="n"/>
      <c r="L525" s="22">
        <f>IF(OR(B525="",K525=""),"",K525-B525)</f>
        <v/>
      </c>
      <c r="M525" s="19" t="n"/>
      <c r="N525" s="19" t="n"/>
      <c r="O525" s="20" t="n"/>
      <c r="P525" s="19" t="n"/>
    </row>
    <row r="526">
      <c r="A526" s="19" t="n"/>
      <c r="B526" s="20" t="n"/>
      <c r="C526" s="21">
        <f>IF(B526="","",DATE(YEAR(B526),MONTH(B526),1))</f>
        <v/>
      </c>
      <c r="D526" s="19" t="n"/>
      <c r="E526" s="19" t="n"/>
      <c r="F526" s="19" t="n"/>
      <c r="G526" s="19" t="n"/>
      <c r="H526" s="19" t="n"/>
      <c r="I526" s="19" t="n"/>
      <c r="J526" s="19" t="n"/>
      <c r="K526" s="20" t="n"/>
      <c r="L526" s="22">
        <f>IF(OR(B526="",K526=""),"",K526-B526)</f>
        <v/>
      </c>
      <c r="M526" s="19" t="n"/>
      <c r="N526" s="19" t="n"/>
      <c r="O526" s="20" t="n"/>
      <c r="P526" s="19" t="n"/>
    </row>
    <row r="527">
      <c r="A527" s="19" t="n"/>
      <c r="B527" s="20" t="n"/>
      <c r="C527" s="21">
        <f>IF(B527="","",DATE(YEAR(B527),MONTH(B527),1))</f>
        <v/>
      </c>
      <c r="D527" s="19" t="n"/>
      <c r="E527" s="19" t="n"/>
      <c r="F527" s="19" t="n"/>
      <c r="G527" s="19" t="n"/>
      <c r="H527" s="19" t="n"/>
      <c r="I527" s="19" t="n"/>
      <c r="J527" s="19" t="n"/>
      <c r="K527" s="20" t="n"/>
      <c r="L527" s="22">
        <f>IF(OR(B527="",K527=""),"",K527-B527)</f>
        <v/>
      </c>
      <c r="M527" s="19" t="n"/>
      <c r="N527" s="19" t="n"/>
      <c r="O527" s="20" t="n"/>
      <c r="P527" s="19" t="n"/>
    </row>
    <row r="528">
      <c r="A528" s="19" t="n"/>
      <c r="B528" s="20" t="n"/>
      <c r="C528" s="21">
        <f>IF(B528="","",DATE(YEAR(B528),MONTH(B528),1))</f>
        <v/>
      </c>
      <c r="D528" s="19" t="n"/>
      <c r="E528" s="19" t="n"/>
      <c r="F528" s="19" t="n"/>
      <c r="G528" s="19" t="n"/>
      <c r="H528" s="19" t="n"/>
      <c r="I528" s="19" t="n"/>
      <c r="J528" s="19" t="n"/>
      <c r="K528" s="20" t="n"/>
      <c r="L528" s="22">
        <f>IF(OR(B528="",K528=""),"",K528-B528)</f>
        <v/>
      </c>
      <c r="M528" s="19" t="n"/>
      <c r="N528" s="19" t="n"/>
      <c r="O528" s="20" t="n"/>
      <c r="P528" s="19" t="n"/>
    </row>
    <row r="529">
      <c r="A529" s="19" t="n"/>
      <c r="B529" s="20" t="n"/>
      <c r="C529" s="21">
        <f>IF(B529="","",DATE(YEAR(B529),MONTH(B529),1))</f>
        <v/>
      </c>
      <c r="D529" s="19" t="n"/>
      <c r="E529" s="19" t="n"/>
      <c r="F529" s="19" t="n"/>
      <c r="G529" s="19" t="n"/>
      <c r="H529" s="19" t="n"/>
      <c r="I529" s="19" t="n"/>
      <c r="J529" s="19" t="n"/>
      <c r="K529" s="20" t="n"/>
      <c r="L529" s="22">
        <f>IF(OR(B529="",K529=""),"",K529-B529)</f>
        <v/>
      </c>
      <c r="M529" s="19" t="n"/>
      <c r="N529" s="19" t="n"/>
      <c r="O529" s="20" t="n"/>
      <c r="P529" s="19" t="n"/>
    </row>
    <row r="530">
      <c r="A530" s="19" t="n"/>
      <c r="B530" s="20" t="n"/>
      <c r="C530" s="21">
        <f>IF(B530="","",DATE(YEAR(B530),MONTH(B530),1))</f>
        <v/>
      </c>
      <c r="D530" s="19" t="n"/>
      <c r="E530" s="19" t="n"/>
      <c r="F530" s="19" t="n"/>
      <c r="G530" s="19" t="n"/>
      <c r="H530" s="19" t="n"/>
      <c r="I530" s="19" t="n"/>
      <c r="J530" s="19" t="n"/>
      <c r="K530" s="20" t="n"/>
      <c r="L530" s="22">
        <f>IF(OR(B530="",K530=""),"",K530-B530)</f>
        <v/>
      </c>
      <c r="M530" s="19" t="n"/>
      <c r="N530" s="19" t="n"/>
      <c r="O530" s="20" t="n"/>
      <c r="P530" s="19" t="n"/>
    </row>
    <row r="531">
      <c r="A531" s="19" t="n"/>
      <c r="B531" s="20" t="n"/>
      <c r="C531" s="21">
        <f>IF(B531="","",DATE(YEAR(B531),MONTH(B531),1))</f>
        <v/>
      </c>
      <c r="D531" s="19" t="n"/>
      <c r="E531" s="19" t="n"/>
      <c r="F531" s="19" t="n"/>
      <c r="G531" s="19" t="n"/>
      <c r="H531" s="19" t="n"/>
      <c r="I531" s="19" t="n"/>
      <c r="J531" s="19" t="n"/>
      <c r="K531" s="20" t="n"/>
      <c r="L531" s="22">
        <f>IF(OR(B531="",K531=""),"",K531-B531)</f>
        <v/>
      </c>
      <c r="M531" s="19" t="n"/>
      <c r="N531" s="19" t="n"/>
      <c r="O531" s="20" t="n"/>
      <c r="P531" s="19" t="n"/>
    </row>
    <row r="532">
      <c r="A532" s="19" t="n"/>
      <c r="B532" s="20" t="n"/>
      <c r="C532" s="21">
        <f>IF(B532="","",DATE(YEAR(B532),MONTH(B532),1))</f>
        <v/>
      </c>
      <c r="D532" s="19" t="n"/>
      <c r="E532" s="19" t="n"/>
      <c r="F532" s="19" t="n"/>
      <c r="G532" s="19" t="n"/>
      <c r="H532" s="19" t="n"/>
      <c r="I532" s="19" t="n"/>
      <c r="J532" s="19" t="n"/>
      <c r="K532" s="20" t="n"/>
      <c r="L532" s="22">
        <f>IF(OR(B532="",K532=""),"",K532-B532)</f>
        <v/>
      </c>
      <c r="M532" s="19" t="n"/>
      <c r="N532" s="19" t="n"/>
      <c r="O532" s="20" t="n"/>
      <c r="P532" s="19" t="n"/>
    </row>
    <row r="533">
      <c r="A533" s="19" t="n"/>
      <c r="B533" s="20" t="n"/>
      <c r="C533" s="21">
        <f>IF(B533="","",DATE(YEAR(B533),MONTH(B533),1))</f>
        <v/>
      </c>
      <c r="D533" s="19" t="n"/>
      <c r="E533" s="19" t="n"/>
      <c r="F533" s="19" t="n"/>
      <c r="G533" s="19" t="n"/>
      <c r="H533" s="19" t="n"/>
      <c r="I533" s="19" t="n"/>
      <c r="J533" s="19" t="n"/>
      <c r="K533" s="20" t="n"/>
      <c r="L533" s="22">
        <f>IF(OR(B533="",K533=""),"",K533-B533)</f>
        <v/>
      </c>
      <c r="M533" s="19" t="n"/>
      <c r="N533" s="19" t="n"/>
      <c r="O533" s="20" t="n"/>
      <c r="P533" s="19" t="n"/>
    </row>
    <row r="534">
      <c r="A534" s="19" t="n"/>
      <c r="B534" s="20" t="n"/>
      <c r="C534" s="21">
        <f>IF(B534="","",DATE(YEAR(B534),MONTH(B534),1))</f>
        <v/>
      </c>
      <c r="D534" s="19" t="n"/>
      <c r="E534" s="19" t="n"/>
      <c r="F534" s="19" t="n"/>
      <c r="G534" s="19" t="n"/>
      <c r="H534" s="19" t="n"/>
      <c r="I534" s="19" t="n"/>
      <c r="J534" s="19" t="n"/>
      <c r="K534" s="20" t="n"/>
      <c r="L534" s="22">
        <f>IF(OR(B534="",K534=""),"",K534-B534)</f>
        <v/>
      </c>
      <c r="M534" s="19" t="n"/>
      <c r="N534" s="19" t="n"/>
      <c r="O534" s="20" t="n"/>
      <c r="P534" s="19" t="n"/>
    </row>
    <row r="535">
      <c r="A535" s="19" t="n"/>
      <c r="B535" s="20" t="n"/>
      <c r="C535" s="21">
        <f>IF(B535="","",DATE(YEAR(B535),MONTH(B535),1))</f>
        <v/>
      </c>
      <c r="D535" s="19" t="n"/>
      <c r="E535" s="19" t="n"/>
      <c r="F535" s="19" t="n"/>
      <c r="G535" s="19" t="n"/>
      <c r="H535" s="19" t="n"/>
      <c r="I535" s="19" t="n"/>
      <c r="J535" s="19" t="n"/>
      <c r="K535" s="20" t="n"/>
      <c r="L535" s="22">
        <f>IF(OR(B535="",K535=""),"",K535-B535)</f>
        <v/>
      </c>
      <c r="M535" s="19" t="n"/>
      <c r="N535" s="19" t="n"/>
      <c r="O535" s="20" t="n"/>
      <c r="P535" s="19" t="n"/>
    </row>
    <row r="536">
      <c r="A536" s="19" t="n"/>
      <c r="B536" s="20" t="n"/>
      <c r="C536" s="21">
        <f>IF(B536="","",DATE(YEAR(B536),MONTH(B536),1))</f>
        <v/>
      </c>
      <c r="D536" s="19" t="n"/>
      <c r="E536" s="19" t="n"/>
      <c r="F536" s="19" t="n"/>
      <c r="G536" s="19" t="n"/>
      <c r="H536" s="19" t="n"/>
      <c r="I536" s="19" t="n"/>
      <c r="J536" s="19" t="n"/>
      <c r="K536" s="20" t="n"/>
      <c r="L536" s="22">
        <f>IF(OR(B536="",K536=""),"",K536-B536)</f>
        <v/>
      </c>
      <c r="M536" s="19" t="n"/>
      <c r="N536" s="19" t="n"/>
      <c r="O536" s="20" t="n"/>
      <c r="P536" s="19" t="n"/>
    </row>
    <row r="537">
      <c r="A537" s="19" t="n"/>
      <c r="B537" s="20" t="n"/>
      <c r="C537" s="21">
        <f>IF(B537="","",DATE(YEAR(B537),MONTH(B537),1))</f>
        <v/>
      </c>
      <c r="D537" s="19" t="n"/>
      <c r="E537" s="19" t="n"/>
      <c r="F537" s="19" t="n"/>
      <c r="G537" s="19" t="n"/>
      <c r="H537" s="19" t="n"/>
      <c r="I537" s="19" t="n"/>
      <c r="J537" s="19" t="n"/>
      <c r="K537" s="20" t="n"/>
      <c r="L537" s="22">
        <f>IF(OR(B537="",K537=""),"",K537-B537)</f>
        <v/>
      </c>
      <c r="M537" s="19" t="n"/>
      <c r="N537" s="19" t="n"/>
      <c r="O537" s="20" t="n"/>
      <c r="P537" s="19" t="n"/>
    </row>
    <row r="538">
      <c r="A538" s="19" t="n"/>
      <c r="B538" s="20" t="n"/>
      <c r="C538" s="21">
        <f>IF(B538="","",DATE(YEAR(B538),MONTH(B538),1))</f>
        <v/>
      </c>
      <c r="D538" s="19" t="n"/>
      <c r="E538" s="19" t="n"/>
      <c r="F538" s="19" t="n"/>
      <c r="G538" s="19" t="n"/>
      <c r="H538" s="19" t="n"/>
      <c r="I538" s="19" t="n"/>
      <c r="J538" s="19" t="n"/>
      <c r="K538" s="20" t="n"/>
      <c r="L538" s="22">
        <f>IF(OR(B538="",K538=""),"",K538-B538)</f>
        <v/>
      </c>
      <c r="M538" s="19" t="n"/>
      <c r="N538" s="19" t="n"/>
      <c r="O538" s="20" t="n"/>
      <c r="P538" s="19" t="n"/>
    </row>
    <row r="539">
      <c r="A539" s="19" t="n"/>
      <c r="B539" s="20" t="n"/>
      <c r="C539" s="21">
        <f>IF(B539="","",DATE(YEAR(B539),MONTH(B539),1))</f>
        <v/>
      </c>
      <c r="D539" s="19" t="n"/>
      <c r="E539" s="19" t="n"/>
      <c r="F539" s="19" t="n"/>
      <c r="G539" s="19" t="n"/>
      <c r="H539" s="19" t="n"/>
      <c r="I539" s="19" t="n"/>
      <c r="J539" s="19" t="n"/>
      <c r="K539" s="20" t="n"/>
      <c r="L539" s="22">
        <f>IF(OR(B539="",K539=""),"",K539-B539)</f>
        <v/>
      </c>
      <c r="M539" s="19" t="n"/>
      <c r="N539" s="19" t="n"/>
      <c r="O539" s="20" t="n"/>
      <c r="P539" s="19" t="n"/>
    </row>
    <row r="540">
      <c r="A540" s="19" t="n"/>
      <c r="B540" s="20" t="n"/>
      <c r="C540" s="21">
        <f>IF(B540="","",DATE(YEAR(B540),MONTH(B540),1))</f>
        <v/>
      </c>
      <c r="D540" s="19" t="n"/>
      <c r="E540" s="19" t="n"/>
      <c r="F540" s="19" t="n"/>
      <c r="G540" s="19" t="n"/>
      <c r="H540" s="19" t="n"/>
      <c r="I540" s="19" t="n"/>
      <c r="J540" s="19" t="n"/>
      <c r="K540" s="20" t="n"/>
      <c r="L540" s="22">
        <f>IF(OR(B540="",K540=""),"",K540-B540)</f>
        <v/>
      </c>
      <c r="M540" s="19" t="n"/>
      <c r="N540" s="19" t="n"/>
      <c r="O540" s="20" t="n"/>
      <c r="P540" s="19" t="n"/>
    </row>
    <row r="541">
      <c r="A541" s="19" t="n"/>
      <c r="B541" s="20" t="n"/>
      <c r="C541" s="21">
        <f>IF(B541="","",DATE(YEAR(B541),MONTH(B541),1))</f>
        <v/>
      </c>
      <c r="D541" s="19" t="n"/>
      <c r="E541" s="19" t="n"/>
      <c r="F541" s="19" t="n"/>
      <c r="G541" s="19" t="n"/>
      <c r="H541" s="19" t="n"/>
      <c r="I541" s="19" t="n"/>
      <c r="J541" s="19" t="n"/>
      <c r="K541" s="20" t="n"/>
      <c r="L541" s="22">
        <f>IF(OR(B541="",K541=""),"",K541-B541)</f>
        <v/>
      </c>
      <c r="M541" s="19" t="n"/>
      <c r="N541" s="19" t="n"/>
      <c r="O541" s="20" t="n"/>
      <c r="P541" s="19" t="n"/>
    </row>
    <row r="542">
      <c r="A542" s="19" t="n"/>
      <c r="B542" s="20" t="n"/>
      <c r="C542" s="21">
        <f>IF(B542="","",DATE(YEAR(B542),MONTH(B542),1))</f>
        <v/>
      </c>
      <c r="D542" s="19" t="n"/>
      <c r="E542" s="19" t="n"/>
      <c r="F542" s="19" t="n"/>
      <c r="G542" s="19" t="n"/>
      <c r="H542" s="19" t="n"/>
      <c r="I542" s="19" t="n"/>
      <c r="J542" s="19" t="n"/>
      <c r="K542" s="20" t="n"/>
      <c r="L542" s="22">
        <f>IF(OR(B542="",K542=""),"",K542-B542)</f>
        <v/>
      </c>
      <c r="M542" s="19" t="n"/>
      <c r="N542" s="19" t="n"/>
      <c r="O542" s="20" t="n"/>
      <c r="P542" s="19" t="n"/>
    </row>
    <row r="543">
      <c r="A543" s="19" t="n"/>
      <c r="B543" s="20" t="n"/>
      <c r="C543" s="21">
        <f>IF(B543="","",DATE(YEAR(B543),MONTH(B543),1))</f>
        <v/>
      </c>
      <c r="D543" s="19" t="n"/>
      <c r="E543" s="19" t="n"/>
      <c r="F543" s="19" t="n"/>
      <c r="G543" s="19" t="n"/>
      <c r="H543" s="19" t="n"/>
      <c r="I543" s="19" t="n"/>
      <c r="J543" s="19" t="n"/>
      <c r="K543" s="20" t="n"/>
      <c r="L543" s="22">
        <f>IF(OR(B543="",K543=""),"",K543-B543)</f>
        <v/>
      </c>
      <c r="M543" s="19" t="n"/>
      <c r="N543" s="19" t="n"/>
      <c r="O543" s="20" t="n"/>
      <c r="P543" s="19" t="n"/>
    </row>
    <row r="544">
      <c r="A544" s="19" t="n"/>
      <c r="B544" s="20" t="n"/>
      <c r="C544" s="21">
        <f>IF(B544="","",DATE(YEAR(B544),MONTH(B544),1))</f>
        <v/>
      </c>
      <c r="D544" s="19" t="n"/>
      <c r="E544" s="19" t="n"/>
      <c r="F544" s="19" t="n"/>
      <c r="G544" s="19" t="n"/>
      <c r="H544" s="19" t="n"/>
      <c r="I544" s="19" t="n"/>
      <c r="J544" s="19" t="n"/>
      <c r="K544" s="20" t="n"/>
      <c r="L544" s="22">
        <f>IF(OR(B544="",K544=""),"",K544-B544)</f>
        <v/>
      </c>
      <c r="M544" s="19" t="n"/>
      <c r="N544" s="19" t="n"/>
      <c r="O544" s="20" t="n"/>
      <c r="P544" s="19" t="n"/>
    </row>
    <row r="545">
      <c r="A545" s="19" t="n"/>
      <c r="B545" s="20" t="n"/>
      <c r="C545" s="21">
        <f>IF(B545="","",DATE(YEAR(B545),MONTH(B545),1))</f>
        <v/>
      </c>
      <c r="D545" s="19" t="n"/>
      <c r="E545" s="19" t="n"/>
      <c r="F545" s="19" t="n"/>
      <c r="G545" s="19" t="n"/>
      <c r="H545" s="19" t="n"/>
      <c r="I545" s="19" t="n"/>
      <c r="J545" s="19" t="n"/>
      <c r="K545" s="20" t="n"/>
      <c r="L545" s="22">
        <f>IF(OR(B545="",K545=""),"",K545-B545)</f>
        <v/>
      </c>
      <c r="M545" s="19" t="n"/>
      <c r="N545" s="19" t="n"/>
      <c r="O545" s="20" t="n"/>
      <c r="P545" s="19" t="n"/>
    </row>
    <row r="546">
      <c r="A546" s="19" t="n"/>
      <c r="B546" s="20" t="n"/>
      <c r="C546" s="21">
        <f>IF(B546="","",DATE(YEAR(B546),MONTH(B546),1))</f>
        <v/>
      </c>
      <c r="D546" s="19" t="n"/>
      <c r="E546" s="19" t="n"/>
      <c r="F546" s="19" t="n"/>
      <c r="G546" s="19" t="n"/>
      <c r="H546" s="19" t="n"/>
      <c r="I546" s="19" t="n"/>
      <c r="J546" s="19" t="n"/>
      <c r="K546" s="20" t="n"/>
      <c r="L546" s="22">
        <f>IF(OR(B546="",K546=""),"",K546-B546)</f>
        <v/>
      </c>
      <c r="M546" s="19" t="n"/>
      <c r="N546" s="19" t="n"/>
      <c r="O546" s="20" t="n"/>
      <c r="P546" s="19" t="n"/>
    </row>
    <row r="547">
      <c r="A547" s="19" t="n"/>
      <c r="B547" s="20" t="n"/>
      <c r="C547" s="21">
        <f>IF(B547="","",DATE(YEAR(B547),MONTH(B547),1))</f>
        <v/>
      </c>
      <c r="D547" s="19" t="n"/>
      <c r="E547" s="19" t="n"/>
      <c r="F547" s="19" t="n"/>
      <c r="G547" s="19" t="n"/>
      <c r="H547" s="19" t="n"/>
      <c r="I547" s="19" t="n"/>
      <c r="J547" s="19" t="n"/>
      <c r="K547" s="20" t="n"/>
      <c r="L547" s="22">
        <f>IF(OR(B547="",K547=""),"",K547-B547)</f>
        <v/>
      </c>
      <c r="M547" s="19" t="n"/>
      <c r="N547" s="19" t="n"/>
      <c r="O547" s="20" t="n"/>
      <c r="P547" s="19" t="n"/>
    </row>
    <row r="548">
      <c r="A548" s="19" t="n"/>
      <c r="B548" s="20" t="n"/>
      <c r="C548" s="21">
        <f>IF(B548="","",DATE(YEAR(B548),MONTH(B548),1))</f>
        <v/>
      </c>
      <c r="D548" s="19" t="n"/>
      <c r="E548" s="19" t="n"/>
      <c r="F548" s="19" t="n"/>
      <c r="G548" s="19" t="n"/>
      <c r="H548" s="19" t="n"/>
      <c r="I548" s="19" t="n"/>
      <c r="J548" s="19" t="n"/>
      <c r="K548" s="20" t="n"/>
      <c r="L548" s="22">
        <f>IF(OR(B548="",K548=""),"",K548-B548)</f>
        <v/>
      </c>
      <c r="M548" s="19" t="n"/>
      <c r="N548" s="19" t="n"/>
      <c r="O548" s="20" t="n"/>
      <c r="P548" s="19" t="n"/>
    </row>
    <row r="549">
      <c r="A549" s="19" t="n"/>
      <c r="B549" s="20" t="n"/>
      <c r="C549" s="21">
        <f>IF(B549="","",DATE(YEAR(B549),MONTH(B549),1))</f>
        <v/>
      </c>
      <c r="D549" s="19" t="n"/>
      <c r="E549" s="19" t="n"/>
      <c r="F549" s="19" t="n"/>
      <c r="G549" s="19" t="n"/>
      <c r="H549" s="19" t="n"/>
      <c r="I549" s="19" t="n"/>
      <c r="J549" s="19" t="n"/>
      <c r="K549" s="20" t="n"/>
      <c r="L549" s="22">
        <f>IF(OR(B549="",K549=""),"",K549-B549)</f>
        <v/>
      </c>
      <c r="M549" s="19" t="n"/>
      <c r="N549" s="19" t="n"/>
      <c r="O549" s="20" t="n"/>
      <c r="P549" s="19" t="n"/>
    </row>
    <row r="550">
      <c r="A550" s="19" t="n"/>
      <c r="B550" s="20" t="n"/>
      <c r="C550" s="21">
        <f>IF(B550="","",DATE(YEAR(B550),MONTH(B550),1))</f>
        <v/>
      </c>
      <c r="D550" s="19" t="n"/>
      <c r="E550" s="19" t="n"/>
      <c r="F550" s="19" t="n"/>
      <c r="G550" s="19" t="n"/>
      <c r="H550" s="19" t="n"/>
      <c r="I550" s="19" t="n"/>
      <c r="J550" s="19" t="n"/>
      <c r="K550" s="20" t="n"/>
      <c r="L550" s="22">
        <f>IF(OR(B550="",K550=""),"",K550-B550)</f>
        <v/>
      </c>
      <c r="M550" s="19" t="n"/>
      <c r="N550" s="19" t="n"/>
      <c r="O550" s="20" t="n"/>
      <c r="P550" s="19" t="n"/>
    </row>
    <row r="551">
      <c r="A551" s="19" t="n"/>
      <c r="B551" s="20" t="n"/>
      <c r="C551" s="21">
        <f>IF(B551="","",DATE(YEAR(B551),MONTH(B551),1))</f>
        <v/>
      </c>
      <c r="D551" s="19" t="n"/>
      <c r="E551" s="19" t="n"/>
      <c r="F551" s="19" t="n"/>
      <c r="G551" s="19" t="n"/>
      <c r="H551" s="19" t="n"/>
      <c r="I551" s="19" t="n"/>
      <c r="J551" s="19" t="n"/>
      <c r="K551" s="20" t="n"/>
      <c r="L551" s="22">
        <f>IF(OR(B551="",K551=""),"",K551-B551)</f>
        <v/>
      </c>
      <c r="M551" s="19" t="n"/>
      <c r="N551" s="19" t="n"/>
      <c r="O551" s="20" t="n"/>
      <c r="P551" s="19" t="n"/>
    </row>
    <row r="552">
      <c r="A552" s="19" t="n"/>
      <c r="B552" s="20" t="n"/>
      <c r="C552" s="21">
        <f>IF(B552="","",DATE(YEAR(B552),MONTH(B552),1))</f>
        <v/>
      </c>
      <c r="D552" s="19" t="n"/>
      <c r="E552" s="19" t="n"/>
      <c r="F552" s="19" t="n"/>
      <c r="G552" s="19" t="n"/>
      <c r="H552" s="19" t="n"/>
      <c r="I552" s="19" t="n"/>
      <c r="J552" s="19" t="n"/>
      <c r="K552" s="20" t="n"/>
      <c r="L552" s="22">
        <f>IF(OR(B552="",K552=""),"",K552-B552)</f>
        <v/>
      </c>
      <c r="M552" s="19" t="n"/>
      <c r="N552" s="19" t="n"/>
      <c r="O552" s="20" t="n"/>
      <c r="P552" s="19" t="n"/>
    </row>
    <row r="553">
      <c r="A553" s="19" t="n"/>
      <c r="B553" s="20" t="n"/>
      <c r="C553" s="21">
        <f>IF(B553="","",DATE(YEAR(B553),MONTH(B553),1))</f>
        <v/>
      </c>
      <c r="D553" s="19" t="n"/>
      <c r="E553" s="19" t="n"/>
      <c r="F553" s="19" t="n"/>
      <c r="G553" s="19" t="n"/>
      <c r="H553" s="19" t="n"/>
      <c r="I553" s="19" t="n"/>
      <c r="J553" s="19" t="n"/>
      <c r="K553" s="20" t="n"/>
      <c r="L553" s="22">
        <f>IF(OR(B553="",K553=""),"",K553-B553)</f>
        <v/>
      </c>
      <c r="M553" s="19" t="n"/>
      <c r="N553" s="19" t="n"/>
      <c r="O553" s="20" t="n"/>
      <c r="P553" s="19" t="n"/>
    </row>
    <row r="554">
      <c r="A554" s="19" t="n"/>
      <c r="B554" s="20" t="n"/>
      <c r="C554" s="21">
        <f>IF(B554="","",DATE(YEAR(B554),MONTH(B554),1))</f>
        <v/>
      </c>
      <c r="D554" s="19" t="n"/>
      <c r="E554" s="19" t="n"/>
      <c r="F554" s="19" t="n"/>
      <c r="G554" s="19" t="n"/>
      <c r="H554" s="19" t="n"/>
      <c r="I554" s="19" t="n"/>
      <c r="J554" s="19" t="n"/>
      <c r="K554" s="20" t="n"/>
      <c r="L554" s="22">
        <f>IF(OR(B554="",K554=""),"",K554-B554)</f>
        <v/>
      </c>
      <c r="M554" s="19" t="n"/>
      <c r="N554" s="19" t="n"/>
      <c r="O554" s="20" t="n"/>
      <c r="P554" s="19" t="n"/>
    </row>
    <row r="555">
      <c r="A555" s="19" t="n"/>
      <c r="B555" s="20" t="n"/>
      <c r="C555" s="21">
        <f>IF(B555="","",DATE(YEAR(B555),MONTH(B555),1))</f>
        <v/>
      </c>
      <c r="D555" s="19" t="n"/>
      <c r="E555" s="19" t="n"/>
      <c r="F555" s="19" t="n"/>
      <c r="G555" s="19" t="n"/>
      <c r="H555" s="19" t="n"/>
      <c r="I555" s="19" t="n"/>
      <c r="J555" s="19" t="n"/>
      <c r="K555" s="20" t="n"/>
      <c r="L555" s="22">
        <f>IF(OR(B555="",K555=""),"",K555-B555)</f>
        <v/>
      </c>
      <c r="M555" s="19" t="n"/>
      <c r="N555" s="19" t="n"/>
      <c r="O555" s="20" t="n"/>
      <c r="P555" s="19" t="n"/>
    </row>
    <row r="556">
      <c r="A556" s="19" t="n"/>
      <c r="B556" s="20" t="n"/>
      <c r="C556" s="21">
        <f>IF(B556="","",DATE(YEAR(B556),MONTH(B556),1))</f>
        <v/>
      </c>
      <c r="D556" s="19" t="n"/>
      <c r="E556" s="19" t="n"/>
      <c r="F556" s="19" t="n"/>
      <c r="G556" s="19" t="n"/>
      <c r="H556" s="19" t="n"/>
      <c r="I556" s="19" t="n"/>
      <c r="J556" s="19" t="n"/>
      <c r="K556" s="20" t="n"/>
      <c r="L556" s="22">
        <f>IF(OR(B556="",K556=""),"",K556-B556)</f>
        <v/>
      </c>
      <c r="M556" s="19" t="n"/>
      <c r="N556" s="19" t="n"/>
      <c r="O556" s="20" t="n"/>
      <c r="P556" s="19" t="n"/>
    </row>
    <row r="557">
      <c r="A557" s="19" t="n"/>
      <c r="B557" s="20" t="n"/>
      <c r="C557" s="21">
        <f>IF(B557="","",DATE(YEAR(B557),MONTH(B557),1))</f>
        <v/>
      </c>
      <c r="D557" s="19" t="n"/>
      <c r="E557" s="19" t="n"/>
      <c r="F557" s="19" t="n"/>
      <c r="G557" s="19" t="n"/>
      <c r="H557" s="19" t="n"/>
      <c r="I557" s="19" t="n"/>
      <c r="J557" s="19" t="n"/>
      <c r="K557" s="20" t="n"/>
      <c r="L557" s="22">
        <f>IF(OR(B557="",K557=""),"",K557-B557)</f>
        <v/>
      </c>
      <c r="M557" s="19" t="n"/>
      <c r="N557" s="19" t="n"/>
      <c r="O557" s="20" t="n"/>
      <c r="P557" s="19" t="n"/>
    </row>
    <row r="558">
      <c r="A558" s="19" t="n"/>
      <c r="B558" s="20" t="n"/>
      <c r="C558" s="21">
        <f>IF(B558="","",DATE(YEAR(B558),MONTH(B558),1))</f>
        <v/>
      </c>
      <c r="D558" s="19" t="n"/>
      <c r="E558" s="19" t="n"/>
      <c r="F558" s="19" t="n"/>
      <c r="G558" s="19" t="n"/>
      <c r="H558" s="19" t="n"/>
      <c r="I558" s="19" t="n"/>
      <c r="J558" s="19" t="n"/>
      <c r="K558" s="20" t="n"/>
      <c r="L558" s="22">
        <f>IF(OR(B558="",K558=""),"",K558-B558)</f>
        <v/>
      </c>
      <c r="M558" s="19" t="n"/>
      <c r="N558" s="19" t="n"/>
      <c r="O558" s="20" t="n"/>
      <c r="P558" s="19" t="n"/>
    </row>
    <row r="559">
      <c r="A559" s="19" t="n"/>
      <c r="B559" s="20" t="n"/>
      <c r="C559" s="21">
        <f>IF(B559="","",DATE(YEAR(B559),MONTH(B559),1))</f>
        <v/>
      </c>
      <c r="D559" s="19" t="n"/>
      <c r="E559" s="19" t="n"/>
      <c r="F559" s="19" t="n"/>
      <c r="G559" s="19" t="n"/>
      <c r="H559" s="19" t="n"/>
      <c r="I559" s="19" t="n"/>
      <c r="J559" s="19" t="n"/>
      <c r="K559" s="20" t="n"/>
      <c r="L559" s="22">
        <f>IF(OR(B559="",K559=""),"",K559-B559)</f>
        <v/>
      </c>
      <c r="M559" s="19" t="n"/>
      <c r="N559" s="19" t="n"/>
      <c r="O559" s="20" t="n"/>
      <c r="P559" s="19" t="n"/>
    </row>
    <row r="560">
      <c r="A560" s="19" t="n"/>
      <c r="B560" s="20" t="n"/>
      <c r="C560" s="21">
        <f>IF(B560="","",DATE(YEAR(B560),MONTH(B560),1))</f>
        <v/>
      </c>
      <c r="D560" s="19" t="n"/>
      <c r="E560" s="19" t="n"/>
      <c r="F560" s="19" t="n"/>
      <c r="G560" s="19" t="n"/>
      <c r="H560" s="19" t="n"/>
      <c r="I560" s="19" t="n"/>
      <c r="J560" s="19" t="n"/>
      <c r="K560" s="20" t="n"/>
      <c r="L560" s="22">
        <f>IF(OR(B560="",K560=""),"",K560-B560)</f>
        <v/>
      </c>
      <c r="M560" s="19" t="n"/>
      <c r="N560" s="19" t="n"/>
      <c r="O560" s="20" t="n"/>
      <c r="P560" s="19" t="n"/>
    </row>
    <row r="561">
      <c r="A561" s="19" t="n"/>
      <c r="B561" s="20" t="n"/>
      <c r="C561" s="21">
        <f>IF(B561="","",DATE(YEAR(B561),MONTH(B561),1))</f>
        <v/>
      </c>
      <c r="D561" s="19" t="n"/>
      <c r="E561" s="19" t="n"/>
      <c r="F561" s="19" t="n"/>
      <c r="G561" s="19" t="n"/>
      <c r="H561" s="19" t="n"/>
      <c r="I561" s="19" t="n"/>
      <c r="J561" s="19" t="n"/>
      <c r="K561" s="20" t="n"/>
      <c r="L561" s="22">
        <f>IF(OR(B561="",K561=""),"",K561-B561)</f>
        <v/>
      </c>
      <c r="M561" s="19" t="n"/>
      <c r="N561" s="19" t="n"/>
      <c r="O561" s="20" t="n"/>
      <c r="P561" s="19" t="n"/>
    </row>
    <row r="562">
      <c r="A562" s="19" t="n"/>
      <c r="B562" s="20" t="n"/>
      <c r="C562" s="21">
        <f>IF(B562="","",DATE(YEAR(B562),MONTH(B562),1))</f>
        <v/>
      </c>
      <c r="D562" s="19" t="n"/>
      <c r="E562" s="19" t="n"/>
      <c r="F562" s="19" t="n"/>
      <c r="G562" s="19" t="n"/>
      <c r="H562" s="19" t="n"/>
      <c r="I562" s="19" t="n"/>
      <c r="J562" s="19" t="n"/>
      <c r="K562" s="20" t="n"/>
      <c r="L562" s="22">
        <f>IF(OR(B562="",K562=""),"",K562-B562)</f>
        <v/>
      </c>
      <c r="M562" s="19" t="n"/>
      <c r="N562" s="19" t="n"/>
      <c r="O562" s="20" t="n"/>
      <c r="P562" s="19" t="n"/>
    </row>
    <row r="563">
      <c r="A563" s="19" t="n"/>
      <c r="B563" s="20" t="n"/>
      <c r="C563" s="21">
        <f>IF(B563="","",DATE(YEAR(B563),MONTH(B563),1))</f>
        <v/>
      </c>
      <c r="D563" s="19" t="n"/>
      <c r="E563" s="19" t="n"/>
      <c r="F563" s="19" t="n"/>
      <c r="G563" s="19" t="n"/>
      <c r="H563" s="19" t="n"/>
      <c r="I563" s="19" t="n"/>
      <c r="J563" s="19" t="n"/>
      <c r="K563" s="20" t="n"/>
      <c r="L563" s="22">
        <f>IF(OR(B563="",K563=""),"",K563-B563)</f>
        <v/>
      </c>
      <c r="M563" s="19" t="n"/>
      <c r="N563" s="19" t="n"/>
      <c r="O563" s="20" t="n"/>
      <c r="P563" s="19" t="n"/>
    </row>
    <row r="564">
      <c r="A564" s="19" t="n"/>
      <c r="B564" s="20" t="n"/>
      <c r="C564" s="21">
        <f>IF(B564="","",DATE(YEAR(B564),MONTH(B564),1))</f>
        <v/>
      </c>
      <c r="D564" s="19" t="n"/>
      <c r="E564" s="19" t="n"/>
      <c r="F564" s="19" t="n"/>
      <c r="G564" s="19" t="n"/>
      <c r="H564" s="19" t="n"/>
      <c r="I564" s="19" t="n"/>
      <c r="J564" s="19" t="n"/>
      <c r="K564" s="20" t="n"/>
      <c r="L564" s="22">
        <f>IF(OR(B564="",K564=""),"",K564-B564)</f>
        <v/>
      </c>
      <c r="M564" s="19" t="n"/>
      <c r="N564" s="19" t="n"/>
      <c r="O564" s="20" t="n"/>
      <c r="P564" s="19" t="n"/>
    </row>
    <row r="565">
      <c r="A565" s="19" t="n"/>
      <c r="B565" s="20" t="n"/>
      <c r="C565" s="21">
        <f>IF(B565="","",DATE(YEAR(B565),MONTH(B565),1))</f>
        <v/>
      </c>
      <c r="D565" s="19" t="n"/>
      <c r="E565" s="19" t="n"/>
      <c r="F565" s="19" t="n"/>
      <c r="G565" s="19" t="n"/>
      <c r="H565" s="19" t="n"/>
      <c r="I565" s="19" t="n"/>
      <c r="J565" s="19" t="n"/>
      <c r="K565" s="20" t="n"/>
      <c r="L565" s="22">
        <f>IF(OR(B565="",K565=""),"",K565-B565)</f>
        <v/>
      </c>
      <c r="M565" s="19" t="n"/>
      <c r="N565" s="19" t="n"/>
      <c r="O565" s="20" t="n"/>
      <c r="P565" s="19" t="n"/>
    </row>
    <row r="566">
      <c r="A566" s="19" t="n"/>
      <c r="B566" s="20" t="n"/>
      <c r="C566" s="21">
        <f>IF(B566="","",DATE(YEAR(B566),MONTH(B566),1))</f>
        <v/>
      </c>
      <c r="D566" s="19" t="n"/>
      <c r="E566" s="19" t="n"/>
      <c r="F566" s="19" t="n"/>
      <c r="G566" s="19" t="n"/>
      <c r="H566" s="19" t="n"/>
      <c r="I566" s="19" t="n"/>
      <c r="J566" s="19" t="n"/>
      <c r="K566" s="20" t="n"/>
      <c r="L566" s="22">
        <f>IF(OR(B566="",K566=""),"",K566-B566)</f>
        <v/>
      </c>
      <c r="M566" s="19" t="n"/>
      <c r="N566" s="19" t="n"/>
      <c r="O566" s="20" t="n"/>
      <c r="P566" s="19" t="n"/>
    </row>
    <row r="567">
      <c r="A567" s="19" t="n"/>
      <c r="B567" s="20" t="n"/>
      <c r="C567" s="21">
        <f>IF(B567="","",DATE(YEAR(B567),MONTH(B567),1))</f>
        <v/>
      </c>
      <c r="D567" s="19" t="n"/>
      <c r="E567" s="19" t="n"/>
      <c r="F567" s="19" t="n"/>
      <c r="G567" s="19" t="n"/>
      <c r="H567" s="19" t="n"/>
      <c r="I567" s="19" t="n"/>
      <c r="J567" s="19" t="n"/>
      <c r="K567" s="20" t="n"/>
      <c r="L567" s="22">
        <f>IF(OR(B567="",K567=""),"",K567-B567)</f>
        <v/>
      </c>
      <c r="M567" s="19" t="n"/>
      <c r="N567" s="19" t="n"/>
      <c r="O567" s="20" t="n"/>
      <c r="P567" s="19" t="n"/>
    </row>
    <row r="568">
      <c r="A568" s="19" t="n"/>
      <c r="B568" s="20" t="n"/>
      <c r="C568" s="21">
        <f>IF(B568="","",DATE(YEAR(B568),MONTH(B568),1))</f>
        <v/>
      </c>
      <c r="D568" s="19" t="n"/>
      <c r="E568" s="19" t="n"/>
      <c r="F568" s="19" t="n"/>
      <c r="G568" s="19" t="n"/>
      <c r="H568" s="19" t="n"/>
      <c r="I568" s="19" t="n"/>
      <c r="J568" s="19" t="n"/>
      <c r="K568" s="20" t="n"/>
      <c r="L568" s="22">
        <f>IF(OR(B568="",K568=""),"",K568-B568)</f>
        <v/>
      </c>
      <c r="M568" s="19" t="n"/>
      <c r="N568" s="19" t="n"/>
      <c r="O568" s="20" t="n"/>
      <c r="P568" s="19" t="n"/>
    </row>
    <row r="569">
      <c r="A569" s="19" t="n"/>
      <c r="B569" s="20" t="n"/>
      <c r="C569" s="21">
        <f>IF(B569="","",DATE(YEAR(B569),MONTH(B569),1))</f>
        <v/>
      </c>
      <c r="D569" s="19" t="n"/>
      <c r="E569" s="19" t="n"/>
      <c r="F569" s="19" t="n"/>
      <c r="G569" s="19" t="n"/>
      <c r="H569" s="19" t="n"/>
      <c r="I569" s="19" t="n"/>
      <c r="J569" s="19" t="n"/>
      <c r="K569" s="20" t="n"/>
      <c r="L569" s="22">
        <f>IF(OR(B569="",K569=""),"",K569-B569)</f>
        <v/>
      </c>
      <c r="M569" s="19" t="n"/>
      <c r="N569" s="19" t="n"/>
      <c r="O569" s="20" t="n"/>
      <c r="P569" s="19" t="n"/>
    </row>
    <row r="570">
      <c r="A570" s="19" t="n"/>
      <c r="B570" s="20" t="n"/>
      <c r="C570" s="21">
        <f>IF(B570="","",DATE(YEAR(B570),MONTH(B570),1))</f>
        <v/>
      </c>
      <c r="D570" s="19" t="n"/>
      <c r="E570" s="19" t="n"/>
      <c r="F570" s="19" t="n"/>
      <c r="G570" s="19" t="n"/>
      <c r="H570" s="19" t="n"/>
      <c r="I570" s="19" t="n"/>
      <c r="J570" s="19" t="n"/>
      <c r="K570" s="20" t="n"/>
      <c r="L570" s="22">
        <f>IF(OR(B570="",K570=""),"",K570-B570)</f>
        <v/>
      </c>
      <c r="M570" s="19" t="n"/>
      <c r="N570" s="19" t="n"/>
      <c r="O570" s="20" t="n"/>
      <c r="P570" s="19" t="n"/>
    </row>
    <row r="571">
      <c r="A571" s="19" t="n"/>
      <c r="B571" s="20" t="n"/>
      <c r="C571" s="21">
        <f>IF(B571="","",DATE(YEAR(B571),MONTH(B571),1))</f>
        <v/>
      </c>
      <c r="D571" s="19" t="n"/>
      <c r="E571" s="19" t="n"/>
      <c r="F571" s="19" t="n"/>
      <c r="G571" s="19" t="n"/>
      <c r="H571" s="19" t="n"/>
      <c r="I571" s="19" t="n"/>
      <c r="J571" s="19" t="n"/>
      <c r="K571" s="20" t="n"/>
      <c r="L571" s="22">
        <f>IF(OR(B571="",K571=""),"",K571-B571)</f>
        <v/>
      </c>
      <c r="M571" s="19" t="n"/>
      <c r="N571" s="19" t="n"/>
      <c r="O571" s="20" t="n"/>
      <c r="P571" s="19" t="n"/>
    </row>
    <row r="572">
      <c r="A572" s="19" t="n"/>
      <c r="B572" s="20" t="n"/>
      <c r="C572" s="21">
        <f>IF(B572="","",DATE(YEAR(B572),MONTH(B572),1))</f>
        <v/>
      </c>
      <c r="D572" s="19" t="n"/>
      <c r="E572" s="19" t="n"/>
      <c r="F572" s="19" t="n"/>
      <c r="G572" s="19" t="n"/>
      <c r="H572" s="19" t="n"/>
      <c r="I572" s="19" t="n"/>
      <c r="J572" s="19" t="n"/>
      <c r="K572" s="20" t="n"/>
      <c r="L572" s="22">
        <f>IF(OR(B572="",K572=""),"",K572-B572)</f>
        <v/>
      </c>
      <c r="M572" s="19" t="n"/>
      <c r="N572" s="19" t="n"/>
      <c r="O572" s="20" t="n"/>
      <c r="P572" s="19" t="n"/>
    </row>
    <row r="573">
      <c r="A573" s="19" t="n"/>
      <c r="B573" s="20" t="n"/>
      <c r="C573" s="21">
        <f>IF(B573="","",DATE(YEAR(B573),MONTH(B573),1))</f>
        <v/>
      </c>
      <c r="D573" s="19" t="n"/>
      <c r="E573" s="19" t="n"/>
      <c r="F573" s="19" t="n"/>
      <c r="G573" s="19" t="n"/>
      <c r="H573" s="19" t="n"/>
      <c r="I573" s="19" t="n"/>
      <c r="J573" s="19" t="n"/>
      <c r="K573" s="20" t="n"/>
      <c r="L573" s="22">
        <f>IF(OR(B573="",K573=""),"",K573-B573)</f>
        <v/>
      </c>
      <c r="M573" s="19" t="n"/>
      <c r="N573" s="19" t="n"/>
      <c r="O573" s="20" t="n"/>
      <c r="P573" s="19" t="n"/>
    </row>
    <row r="574">
      <c r="A574" s="19" t="n"/>
      <c r="B574" s="20" t="n"/>
      <c r="C574" s="21">
        <f>IF(B574="","",DATE(YEAR(B574),MONTH(B574),1))</f>
        <v/>
      </c>
      <c r="D574" s="19" t="n"/>
      <c r="E574" s="19" t="n"/>
      <c r="F574" s="19" t="n"/>
      <c r="G574" s="19" t="n"/>
      <c r="H574" s="19" t="n"/>
      <c r="I574" s="19" t="n"/>
      <c r="J574" s="19" t="n"/>
      <c r="K574" s="20" t="n"/>
      <c r="L574" s="22">
        <f>IF(OR(B574="",K574=""),"",K574-B574)</f>
        <v/>
      </c>
      <c r="M574" s="19" t="n"/>
      <c r="N574" s="19" t="n"/>
      <c r="O574" s="20" t="n"/>
      <c r="P574" s="19" t="n"/>
    </row>
    <row r="575">
      <c r="A575" s="19" t="n"/>
      <c r="B575" s="20" t="n"/>
      <c r="C575" s="21">
        <f>IF(B575="","",DATE(YEAR(B575),MONTH(B575),1))</f>
        <v/>
      </c>
      <c r="D575" s="19" t="n"/>
      <c r="E575" s="19" t="n"/>
      <c r="F575" s="19" t="n"/>
      <c r="G575" s="19" t="n"/>
      <c r="H575" s="19" t="n"/>
      <c r="I575" s="19" t="n"/>
      <c r="J575" s="19" t="n"/>
      <c r="K575" s="20" t="n"/>
      <c r="L575" s="22">
        <f>IF(OR(B575="",K575=""),"",K575-B575)</f>
        <v/>
      </c>
      <c r="M575" s="19" t="n"/>
      <c r="N575" s="19" t="n"/>
      <c r="O575" s="20" t="n"/>
      <c r="P575" s="19" t="n"/>
    </row>
    <row r="576">
      <c r="A576" s="19" t="n"/>
      <c r="B576" s="20" t="n"/>
      <c r="C576" s="21">
        <f>IF(B576="","",DATE(YEAR(B576),MONTH(B576),1))</f>
        <v/>
      </c>
      <c r="D576" s="19" t="n"/>
      <c r="E576" s="19" t="n"/>
      <c r="F576" s="19" t="n"/>
      <c r="G576" s="19" t="n"/>
      <c r="H576" s="19" t="n"/>
      <c r="I576" s="19" t="n"/>
      <c r="J576" s="19" t="n"/>
      <c r="K576" s="20" t="n"/>
      <c r="L576" s="22">
        <f>IF(OR(B576="",K576=""),"",K576-B576)</f>
        <v/>
      </c>
      <c r="M576" s="19" t="n"/>
      <c r="N576" s="19" t="n"/>
      <c r="O576" s="20" t="n"/>
      <c r="P576" s="19" t="n"/>
    </row>
    <row r="577">
      <c r="A577" s="19" t="n"/>
      <c r="B577" s="20" t="n"/>
      <c r="C577" s="21">
        <f>IF(B577="","",DATE(YEAR(B577),MONTH(B577),1))</f>
        <v/>
      </c>
      <c r="D577" s="19" t="n"/>
      <c r="E577" s="19" t="n"/>
      <c r="F577" s="19" t="n"/>
      <c r="G577" s="19" t="n"/>
      <c r="H577" s="19" t="n"/>
      <c r="I577" s="19" t="n"/>
      <c r="J577" s="19" t="n"/>
      <c r="K577" s="20" t="n"/>
      <c r="L577" s="22">
        <f>IF(OR(B577="",K577=""),"",K577-B577)</f>
        <v/>
      </c>
      <c r="M577" s="19" t="n"/>
      <c r="N577" s="19" t="n"/>
      <c r="O577" s="20" t="n"/>
      <c r="P577" s="19" t="n"/>
    </row>
    <row r="578">
      <c r="A578" s="19" t="n"/>
      <c r="B578" s="20" t="n"/>
      <c r="C578" s="21">
        <f>IF(B578="","",DATE(YEAR(B578),MONTH(B578),1))</f>
        <v/>
      </c>
      <c r="D578" s="19" t="n"/>
      <c r="E578" s="19" t="n"/>
      <c r="F578" s="19" t="n"/>
      <c r="G578" s="19" t="n"/>
      <c r="H578" s="19" t="n"/>
      <c r="I578" s="19" t="n"/>
      <c r="J578" s="19" t="n"/>
      <c r="K578" s="20" t="n"/>
      <c r="L578" s="22">
        <f>IF(OR(B578="",K578=""),"",K578-B578)</f>
        <v/>
      </c>
      <c r="M578" s="19" t="n"/>
      <c r="N578" s="19" t="n"/>
      <c r="O578" s="20" t="n"/>
      <c r="P578" s="19" t="n"/>
    </row>
    <row r="579">
      <c r="A579" s="19" t="n"/>
      <c r="B579" s="20" t="n"/>
      <c r="C579" s="21">
        <f>IF(B579="","",DATE(YEAR(B579),MONTH(B579),1))</f>
        <v/>
      </c>
      <c r="D579" s="19" t="n"/>
      <c r="E579" s="19" t="n"/>
      <c r="F579" s="19" t="n"/>
      <c r="G579" s="19" t="n"/>
      <c r="H579" s="19" t="n"/>
      <c r="I579" s="19" t="n"/>
      <c r="J579" s="19" t="n"/>
      <c r="K579" s="20" t="n"/>
      <c r="L579" s="22">
        <f>IF(OR(B579="",K579=""),"",K579-B579)</f>
        <v/>
      </c>
      <c r="M579" s="19" t="n"/>
      <c r="N579" s="19" t="n"/>
      <c r="O579" s="20" t="n"/>
      <c r="P579" s="19" t="n"/>
    </row>
    <row r="580">
      <c r="A580" s="19" t="n"/>
      <c r="B580" s="20" t="n"/>
      <c r="C580" s="21">
        <f>IF(B580="","",DATE(YEAR(B580),MONTH(B580),1))</f>
        <v/>
      </c>
      <c r="D580" s="19" t="n"/>
      <c r="E580" s="19" t="n"/>
      <c r="F580" s="19" t="n"/>
      <c r="G580" s="19" t="n"/>
      <c r="H580" s="19" t="n"/>
      <c r="I580" s="19" t="n"/>
      <c r="J580" s="19" t="n"/>
      <c r="K580" s="20" t="n"/>
      <c r="L580" s="22">
        <f>IF(OR(B580="",K580=""),"",K580-B580)</f>
        <v/>
      </c>
      <c r="M580" s="19" t="n"/>
      <c r="N580" s="19" t="n"/>
      <c r="O580" s="20" t="n"/>
      <c r="P580" s="19" t="n"/>
    </row>
    <row r="581">
      <c r="A581" s="19" t="n"/>
      <c r="B581" s="20" t="n"/>
      <c r="C581" s="21">
        <f>IF(B581="","",DATE(YEAR(B581),MONTH(B581),1))</f>
        <v/>
      </c>
      <c r="D581" s="19" t="n"/>
      <c r="E581" s="19" t="n"/>
      <c r="F581" s="19" t="n"/>
      <c r="G581" s="19" t="n"/>
      <c r="H581" s="19" t="n"/>
      <c r="I581" s="19" t="n"/>
      <c r="J581" s="19" t="n"/>
      <c r="K581" s="20" t="n"/>
      <c r="L581" s="22">
        <f>IF(OR(B581="",K581=""),"",K581-B581)</f>
        <v/>
      </c>
      <c r="M581" s="19" t="n"/>
      <c r="N581" s="19" t="n"/>
      <c r="O581" s="20" t="n"/>
      <c r="P581" s="19" t="n"/>
    </row>
    <row r="582">
      <c r="A582" s="19" t="n"/>
      <c r="B582" s="20" t="n"/>
      <c r="C582" s="21">
        <f>IF(B582="","",DATE(YEAR(B582),MONTH(B582),1))</f>
        <v/>
      </c>
      <c r="D582" s="19" t="n"/>
      <c r="E582" s="19" t="n"/>
      <c r="F582" s="19" t="n"/>
      <c r="G582" s="19" t="n"/>
      <c r="H582" s="19" t="n"/>
      <c r="I582" s="19" t="n"/>
      <c r="J582" s="19" t="n"/>
      <c r="K582" s="20" t="n"/>
      <c r="L582" s="22">
        <f>IF(OR(B582="",K582=""),"",K582-B582)</f>
        <v/>
      </c>
      <c r="M582" s="19" t="n"/>
      <c r="N582" s="19" t="n"/>
      <c r="O582" s="20" t="n"/>
      <c r="P582" s="19" t="n"/>
    </row>
    <row r="583">
      <c r="A583" s="19" t="n"/>
      <c r="B583" s="20" t="n"/>
      <c r="C583" s="21">
        <f>IF(B583="","",DATE(YEAR(B583),MONTH(B583),1))</f>
        <v/>
      </c>
      <c r="D583" s="19" t="n"/>
      <c r="E583" s="19" t="n"/>
      <c r="F583" s="19" t="n"/>
      <c r="G583" s="19" t="n"/>
      <c r="H583" s="19" t="n"/>
      <c r="I583" s="19" t="n"/>
      <c r="J583" s="19" t="n"/>
      <c r="K583" s="20" t="n"/>
      <c r="L583" s="22">
        <f>IF(OR(B583="",K583=""),"",K583-B583)</f>
        <v/>
      </c>
      <c r="M583" s="19" t="n"/>
      <c r="N583" s="19" t="n"/>
      <c r="O583" s="20" t="n"/>
      <c r="P583" s="19" t="n"/>
    </row>
    <row r="584">
      <c r="A584" s="19" t="n"/>
      <c r="B584" s="20" t="n"/>
      <c r="C584" s="21">
        <f>IF(B584="","",DATE(YEAR(B584),MONTH(B584),1))</f>
        <v/>
      </c>
      <c r="D584" s="19" t="n"/>
      <c r="E584" s="19" t="n"/>
      <c r="F584" s="19" t="n"/>
      <c r="G584" s="19" t="n"/>
      <c r="H584" s="19" t="n"/>
      <c r="I584" s="19" t="n"/>
      <c r="J584" s="19" t="n"/>
      <c r="K584" s="20" t="n"/>
      <c r="L584" s="22">
        <f>IF(OR(B584="",K584=""),"",K584-B584)</f>
        <v/>
      </c>
      <c r="M584" s="19" t="n"/>
      <c r="N584" s="19" t="n"/>
      <c r="O584" s="20" t="n"/>
      <c r="P584" s="19" t="n"/>
    </row>
    <row r="585">
      <c r="A585" s="19" t="n"/>
      <c r="B585" s="20" t="n"/>
      <c r="C585" s="21">
        <f>IF(B585="","",DATE(YEAR(B585),MONTH(B585),1))</f>
        <v/>
      </c>
      <c r="D585" s="19" t="n"/>
      <c r="E585" s="19" t="n"/>
      <c r="F585" s="19" t="n"/>
      <c r="G585" s="19" t="n"/>
      <c r="H585" s="19" t="n"/>
      <c r="I585" s="19" t="n"/>
      <c r="J585" s="19" t="n"/>
      <c r="K585" s="20" t="n"/>
      <c r="L585" s="22">
        <f>IF(OR(B585="",K585=""),"",K585-B585)</f>
        <v/>
      </c>
      <c r="M585" s="19" t="n"/>
      <c r="N585" s="19" t="n"/>
      <c r="O585" s="20" t="n"/>
      <c r="P585" s="19" t="n"/>
    </row>
    <row r="586">
      <c r="A586" s="19" t="n"/>
      <c r="B586" s="20" t="n"/>
      <c r="C586" s="21">
        <f>IF(B586="","",DATE(YEAR(B586),MONTH(B586),1))</f>
        <v/>
      </c>
      <c r="D586" s="19" t="n"/>
      <c r="E586" s="19" t="n"/>
      <c r="F586" s="19" t="n"/>
      <c r="G586" s="19" t="n"/>
      <c r="H586" s="19" t="n"/>
      <c r="I586" s="19" t="n"/>
      <c r="J586" s="19" t="n"/>
      <c r="K586" s="20" t="n"/>
      <c r="L586" s="22">
        <f>IF(OR(B586="",K586=""),"",K586-B586)</f>
        <v/>
      </c>
      <c r="M586" s="19" t="n"/>
      <c r="N586" s="19" t="n"/>
      <c r="O586" s="20" t="n"/>
      <c r="P586" s="19" t="n"/>
    </row>
    <row r="587">
      <c r="A587" s="19" t="n"/>
      <c r="B587" s="20" t="n"/>
      <c r="C587" s="21">
        <f>IF(B587="","",DATE(YEAR(B587),MONTH(B587),1))</f>
        <v/>
      </c>
      <c r="D587" s="19" t="n"/>
      <c r="E587" s="19" t="n"/>
      <c r="F587" s="19" t="n"/>
      <c r="G587" s="19" t="n"/>
      <c r="H587" s="19" t="n"/>
      <c r="I587" s="19" t="n"/>
      <c r="J587" s="19" t="n"/>
      <c r="K587" s="20" t="n"/>
      <c r="L587" s="22">
        <f>IF(OR(B587="",K587=""),"",K587-B587)</f>
        <v/>
      </c>
      <c r="M587" s="19" t="n"/>
      <c r="N587" s="19" t="n"/>
      <c r="O587" s="20" t="n"/>
      <c r="P587" s="19" t="n"/>
    </row>
    <row r="588">
      <c r="A588" s="19" t="n"/>
      <c r="B588" s="20" t="n"/>
      <c r="C588" s="21">
        <f>IF(B588="","",DATE(YEAR(B588),MONTH(B588),1))</f>
        <v/>
      </c>
      <c r="D588" s="19" t="n"/>
      <c r="E588" s="19" t="n"/>
      <c r="F588" s="19" t="n"/>
      <c r="G588" s="19" t="n"/>
      <c r="H588" s="19" t="n"/>
      <c r="I588" s="19" t="n"/>
      <c r="J588" s="19" t="n"/>
      <c r="K588" s="20" t="n"/>
      <c r="L588" s="22">
        <f>IF(OR(B588="",K588=""),"",K588-B588)</f>
        <v/>
      </c>
      <c r="M588" s="19" t="n"/>
      <c r="N588" s="19" t="n"/>
      <c r="O588" s="20" t="n"/>
      <c r="P588" s="19" t="n"/>
    </row>
    <row r="589">
      <c r="A589" s="19" t="n"/>
      <c r="B589" s="20" t="n"/>
      <c r="C589" s="21">
        <f>IF(B589="","",DATE(YEAR(B589),MONTH(B589),1))</f>
        <v/>
      </c>
      <c r="D589" s="19" t="n"/>
      <c r="E589" s="19" t="n"/>
      <c r="F589" s="19" t="n"/>
      <c r="G589" s="19" t="n"/>
      <c r="H589" s="19" t="n"/>
      <c r="I589" s="19" t="n"/>
      <c r="J589" s="19" t="n"/>
      <c r="K589" s="20" t="n"/>
      <c r="L589" s="22">
        <f>IF(OR(B589="",K589=""),"",K589-B589)</f>
        <v/>
      </c>
      <c r="M589" s="19" t="n"/>
      <c r="N589" s="19" t="n"/>
      <c r="O589" s="20" t="n"/>
      <c r="P589" s="19" t="n"/>
    </row>
    <row r="590">
      <c r="A590" s="19" t="n"/>
      <c r="B590" s="20" t="n"/>
      <c r="C590" s="21">
        <f>IF(B590="","",DATE(YEAR(B590),MONTH(B590),1))</f>
        <v/>
      </c>
      <c r="D590" s="19" t="n"/>
      <c r="E590" s="19" t="n"/>
      <c r="F590" s="19" t="n"/>
      <c r="G590" s="19" t="n"/>
      <c r="H590" s="19" t="n"/>
      <c r="I590" s="19" t="n"/>
      <c r="J590" s="19" t="n"/>
      <c r="K590" s="20" t="n"/>
      <c r="L590" s="22">
        <f>IF(OR(B590="",K590=""),"",K590-B590)</f>
        <v/>
      </c>
      <c r="M590" s="19" t="n"/>
      <c r="N590" s="19" t="n"/>
      <c r="O590" s="20" t="n"/>
      <c r="P590" s="19" t="n"/>
    </row>
    <row r="591">
      <c r="A591" s="19" t="n"/>
      <c r="B591" s="20" t="n"/>
      <c r="C591" s="21">
        <f>IF(B591="","",DATE(YEAR(B591),MONTH(B591),1))</f>
        <v/>
      </c>
      <c r="D591" s="19" t="n"/>
      <c r="E591" s="19" t="n"/>
      <c r="F591" s="19" t="n"/>
      <c r="G591" s="19" t="n"/>
      <c r="H591" s="19" t="n"/>
      <c r="I591" s="19" t="n"/>
      <c r="J591" s="19" t="n"/>
      <c r="K591" s="20" t="n"/>
      <c r="L591" s="22">
        <f>IF(OR(B591="",K591=""),"",K591-B591)</f>
        <v/>
      </c>
      <c r="M591" s="19" t="n"/>
      <c r="N591" s="19" t="n"/>
      <c r="O591" s="20" t="n"/>
      <c r="P591" s="19" t="n"/>
    </row>
    <row r="592">
      <c r="A592" s="19" t="n"/>
      <c r="B592" s="20" t="n"/>
      <c r="C592" s="21">
        <f>IF(B592="","",DATE(YEAR(B592),MONTH(B592),1))</f>
        <v/>
      </c>
      <c r="D592" s="19" t="n"/>
      <c r="E592" s="19" t="n"/>
      <c r="F592" s="19" t="n"/>
      <c r="G592" s="19" t="n"/>
      <c r="H592" s="19" t="n"/>
      <c r="I592" s="19" t="n"/>
      <c r="J592" s="19" t="n"/>
      <c r="K592" s="20" t="n"/>
      <c r="L592" s="22">
        <f>IF(OR(B592="",K592=""),"",K592-B592)</f>
        <v/>
      </c>
      <c r="M592" s="19" t="n"/>
      <c r="N592" s="19" t="n"/>
      <c r="O592" s="20" t="n"/>
      <c r="P592" s="19" t="n"/>
    </row>
    <row r="593">
      <c r="A593" s="19" t="n"/>
      <c r="B593" s="20" t="n"/>
      <c r="C593" s="21">
        <f>IF(B593="","",DATE(YEAR(B593),MONTH(B593),1))</f>
        <v/>
      </c>
      <c r="D593" s="19" t="n"/>
      <c r="E593" s="19" t="n"/>
      <c r="F593" s="19" t="n"/>
      <c r="G593" s="19" t="n"/>
      <c r="H593" s="19" t="n"/>
      <c r="I593" s="19" t="n"/>
      <c r="J593" s="19" t="n"/>
      <c r="K593" s="20" t="n"/>
      <c r="L593" s="22">
        <f>IF(OR(B593="",K593=""),"",K593-B593)</f>
        <v/>
      </c>
      <c r="M593" s="19" t="n"/>
      <c r="N593" s="19" t="n"/>
      <c r="O593" s="20" t="n"/>
      <c r="P593" s="19" t="n"/>
    </row>
    <row r="594">
      <c r="A594" s="19" t="n"/>
      <c r="B594" s="20" t="n"/>
      <c r="C594" s="21">
        <f>IF(B594="","",DATE(YEAR(B594),MONTH(B594),1))</f>
        <v/>
      </c>
      <c r="D594" s="19" t="n"/>
      <c r="E594" s="19" t="n"/>
      <c r="F594" s="19" t="n"/>
      <c r="G594" s="19" t="n"/>
      <c r="H594" s="19" t="n"/>
      <c r="I594" s="19" t="n"/>
      <c r="J594" s="19" t="n"/>
      <c r="K594" s="20" t="n"/>
      <c r="L594" s="22">
        <f>IF(OR(B594="",K594=""),"",K594-B594)</f>
        <v/>
      </c>
      <c r="M594" s="19" t="n"/>
      <c r="N594" s="19" t="n"/>
      <c r="O594" s="20" t="n"/>
      <c r="P594" s="19" t="n"/>
    </row>
    <row r="595">
      <c r="A595" s="19" t="n"/>
      <c r="B595" s="20" t="n"/>
      <c r="C595" s="21">
        <f>IF(B595="","",DATE(YEAR(B595),MONTH(B595),1))</f>
        <v/>
      </c>
      <c r="D595" s="19" t="n"/>
      <c r="E595" s="19" t="n"/>
      <c r="F595" s="19" t="n"/>
      <c r="G595" s="19" t="n"/>
      <c r="H595" s="19" t="n"/>
      <c r="I595" s="19" t="n"/>
      <c r="J595" s="19" t="n"/>
      <c r="K595" s="20" t="n"/>
      <c r="L595" s="22">
        <f>IF(OR(B595="",K595=""),"",K595-B595)</f>
        <v/>
      </c>
      <c r="M595" s="19" t="n"/>
      <c r="N595" s="19" t="n"/>
      <c r="O595" s="20" t="n"/>
      <c r="P595" s="19" t="n"/>
    </row>
    <row r="596">
      <c r="A596" s="19" t="n"/>
      <c r="B596" s="20" t="n"/>
      <c r="C596" s="21">
        <f>IF(B596="","",DATE(YEAR(B596),MONTH(B596),1))</f>
        <v/>
      </c>
      <c r="D596" s="19" t="n"/>
      <c r="E596" s="19" t="n"/>
      <c r="F596" s="19" t="n"/>
      <c r="G596" s="19" t="n"/>
      <c r="H596" s="19" t="n"/>
      <c r="I596" s="19" t="n"/>
      <c r="J596" s="19" t="n"/>
      <c r="K596" s="20" t="n"/>
      <c r="L596" s="22">
        <f>IF(OR(B596="",K596=""),"",K596-B596)</f>
        <v/>
      </c>
      <c r="M596" s="19" t="n"/>
      <c r="N596" s="19" t="n"/>
      <c r="O596" s="20" t="n"/>
      <c r="P596" s="19" t="n"/>
    </row>
    <row r="597">
      <c r="A597" s="19" t="n"/>
      <c r="B597" s="20" t="n"/>
      <c r="C597" s="21">
        <f>IF(B597="","",DATE(YEAR(B597),MONTH(B597),1))</f>
        <v/>
      </c>
      <c r="D597" s="19" t="n"/>
      <c r="E597" s="19" t="n"/>
      <c r="F597" s="19" t="n"/>
      <c r="G597" s="19" t="n"/>
      <c r="H597" s="19" t="n"/>
      <c r="I597" s="19" t="n"/>
      <c r="J597" s="19" t="n"/>
      <c r="K597" s="20" t="n"/>
      <c r="L597" s="22">
        <f>IF(OR(B597="",K597=""),"",K597-B597)</f>
        <v/>
      </c>
      <c r="M597" s="19" t="n"/>
      <c r="N597" s="19" t="n"/>
      <c r="O597" s="20" t="n"/>
      <c r="P597" s="19" t="n"/>
    </row>
    <row r="598">
      <c r="A598" s="19" t="n"/>
      <c r="B598" s="20" t="n"/>
      <c r="C598" s="21">
        <f>IF(B598="","",DATE(YEAR(B598),MONTH(B598),1))</f>
        <v/>
      </c>
      <c r="D598" s="19" t="n"/>
      <c r="E598" s="19" t="n"/>
      <c r="F598" s="19" t="n"/>
      <c r="G598" s="19" t="n"/>
      <c r="H598" s="19" t="n"/>
      <c r="I598" s="19" t="n"/>
      <c r="J598" s="19" t="n"/>
      <c r="K598" s="20" t="n"/>
      <c r="L598" s="22">
        <f>IF(OR(B598="",K598=""),"",K598-B598)</f>
        <v/>
      </c>
      <c r="M598" s="19" t="n"/>
      <c r="N598" s="19" t="n"/>
      <c r="O598" s="20" t="n"/>
      <c r="P598" s="19" t="n"/>
    </row>
    <row r="599">
      <c r="A599" s="19" t="n"/>
      <c r="B599" s="20" t="n"/>
      <c r="C599" s="21">
        <f>IF(B599="","",DATE(YEAR(B599),MONTH(B599),1))</f>
        <v/>
      </c>
      <c r="D599" s="19" t="n"/>
      <c r="E599" s="19" t="n"/>
      <c r="F599" s="19" t="n"/>
      <c r="G599" s="19" t="n"/>
      <c r="H599" s="19" t="n"/>
      <c r="I599" s="19" t="n"/>
      <c r="J599" s="19" t="n"/>
      <c r="K599" s="20" t="n"/>
      <c r="L599" s="22">
        <f>IF(OR(B599="",K599=""),"",K599-B599)</f>
        <v/>
      </c>
      <c r="M599" s="19" t="n"/>
      <c r="N599" s="19" t="n"/>
      <c r="O599" s="20" t="n"/>
      <c r="P599" s="19" t="n"/>
    </row>
    <row r="600">
      <c r="A600" s="19" t="n"/>
      <c r="B600" s="20" t="n"/>
      <c r="C600" s="21">
        <f>IF(B600="","",DATE(YEAR(B600),MONTH(B600),1))</f>
        <v/>
      </c>
      <c r="D600" s="19" t="n"/>
      <c r="E600" s="19" t="n"/>
      <c r="F600" s="19" t="n"/>
      <c r="G600" s="19" t="n"/>
      <c r="H600" s="19" t="n"/>
      <c r="I600" s="19" t="n"/>
      <c r="J600" s="19" t="n"/>
      <c r="K600" s="20" t="n"/>
      <c r="L600" s="22">
        <f>IF(OR(B600="",K600=""),"",K600-B600)</f>
        <v/>
      </c>
      <c r="M600" s="19" t="n"/>
      <c r="N600" s="19" t="n"/>
      <c r="O600" s="20" t="n"/>
      <c r="P600" s="19" t="n"/>
    </row>
    <row r="601">
      <c r="A601" s="19" t="n"/>
      <c r="B601" s="20" t="n"/>
      <c r="C601" s="21">
        <f>IF(B601="","",DATE(YEAR(B601),MONTH(B601),1))</f>
        <v/>
      </c>
      <c r="D601" s="19" t="n"/>
      <c r="E601" s="19" t="n"/>
      <c r="F601" s="19" t="n"/>
      <c r="G601" s="19" t="n"/>
      <c r="H601" s="19" t="n"/>
      <c r="I601" s="19" t="n"/>
      <c r="J601" s="19" t="n"/>
      <c r="K601" s="20" t="n"/>
      <c r="L601" s="22">
        <f>IF(OR(B601="",K601=""),"",K601-B601)</f>
        <v/>
      </c>
      <c r="M601" s="19" t="n"/>
      <c r="N601" s="19" t="n"/>
      <c r="O601" s="20" t="n"/>
      <c r="P601" s="19" t="n"/>
    </row>
    <row r="602">
      <c r="A602" s="19" t="n"/>
      <c r="B602" s="20" t="n"/>
      <c r="C602" s="21">
        <f>IF(B602="","",DATE(YEAR(B602),MONTH(B602),1))</f>
        <v/>
      </c>
      <c r="D602" s="19" t="n"/>
      <c r="E602" s="19" t="n"/>
      <c r="F602" s="19" t="n"/>
      <c r="G602" s="19" t="n"/>
      <c r="H602" s="19" t="n"/>
      <c r="I602" s="19" t="n"/>
      <c r="J602" s="19" t="n"/>
      <c r="K602" s="20" t="n"/>
      <c r="L602" s="22">
        <f>IF(OR(B602="",K602=""),"",K602-B602)</f>
        <v/>
      </c>
      <c r="M602" s="19" t="n"/>
      <c r="N602" s="19" t="n"/>
      <c r="O602" s="20" t="n"/>
      <c r="P602" s="19" t="n"/>
    </row>
    <row r="603">
      <c r="A603" s="19" t="n"/>
      <c r="B603" s="20" t="n"/>
      <c r="C603" s="21">
        <f>IF(B603="","",DATE(YEAR(B603),MONTH(B603),1))</f>
        <v/>
      </c>
      <c r="D603" s="19" t="n"/>
      <c r="E603" s="19" t="n"/>
      <c r="F603" s="19" t="n"/>
      <c r="G603" s="19" t="n"/>
      <c r="H603" s="19" t="n"/>
      <c r="I603" s="19" t="n"/>
      <c r="J603" s="19" t="n"/>
      <c r="K603" s="20" t="n"/>
      <c r="L603" s="22">
        <f>IF(OR(B603="",K603=""),"",K603-B603)</f>
        <v/>
      </c>
      <c r="M603" s="19" t="n"/>
      <c r="N603" s="19" t="n"/>
      <c r="O603" s="20" t="n"/>
      <c r="P603" s="19" t="n"/>
    </row>
    <row r="604">
      <c r="A604" s="19" t="n"/>
      <c r="B604" s="20" t="n"/>
      <c r="C604" s="21">
        <f>IF(B604="","",DATE(YEAR(B604),MONTH(B604),1))</f>
        <v/>
      </c>
      <c r="D604" s="19" t="n"/>
      <c r="E604" s="19" t="n"/>
      <c r="F604" s="19" t="n"/>
      <c r="G604" s="19" t="n"/>
      <c r="H604" s="19" t="n"/>
      <c r="I604" s="19" t="n"/>
      <c r="J604" s="19" t="n"/>
      <c r="K604" s="20" t="n"/>
      <c r="L604" s="22">
        <f>IF(OR(B604="",K604=""),"",K604-B604)</f>
        <v/>
      </c>
      <c r="M604" s="19" t="n"/>
      <c r="N604" s="19" t="n"/>
      <c r="O604" s="20" t="n"/>
      <c r="P604" s="19" t="n"/>
    </row>
    <row r="605">
      <c r="A605" s="19" t="n"/>
      <c r="B605" s="20" t="n"/>
      <c r="C605" s="21">
        <f>IF(B605="","",DATE(YEAR(B605),MONTH(B605),1))</f>
        <v/>
      </c>
      <c r="D605" s="19" t="n"/>
      <c r="E605" s="19" t="n"/>
      <c r="F605" s="19" t="n"/>
      <c r="G605" s="19" t="n"/>
      <c r="H605" s="19" t="n"/>
      <c r="I605" s="19" t="n"/>
      <c r="J605" s="19" t="n"/>
      <c r="K605" s="20" t="n"/>
      <c r="L605" s="22">
        <f>IF(OR(B605="",K605=""),"",K605-B605)</f>
        <v/>
      </c>
      <c r="M605" s="19" t="n"/>
      <c r="N605" s="19" t="n"/>
      <c r="O605" s="20" t="n"/>
      <c r="P605" s="19" t="n"/>
    </row>
    <row r="606">
      <c r="A606" s="19" t="n"/>
      <c r="B606" s="20" t="n"/>
      <c r="C606" s="21">
        <f>IF(B606="","",DATE(YEAR(B606),MONTH(B606),1))</f>
        <v/>
      </c>
      <c r="D606" s="19" t="n"/>
      <c r="E606" s="19" t="n"/>
      <c r="F606" s="19" t="n"/>
      <c r="G606" s="19" t="n"/>
      <c r="H606" s="19" t="n"/>
      <c r="I606" s="19" t="n"/>
      <c r="J606" s="19" t="n"/>
      <c r="K606" s="20" t="n"/>
      <c r="L606" s="22">
        <f>IF(OR(B606="",K606=""),"",K606-B606)</f>
        <v/>
      </c>
      <c r="M606" s="19" t="n"/>
      <c r="N606" s="19" t="n"/>
      <c r="O606" s="20" t="n"/>
      <c r="P606" s="19" t="n"/>
    </row>
    <row r="607">
      <c r="A607" s="19" t="n"/>
      <c r="B607" s="20" t="n"/>
      <c r="C607" s="21">
        <f>IF(B607="","",DATE(YEAR(B607),MONTH(B607),1))</f>
        <v/>
      </c>
      <c r="D607" s="19" t="n"/>
      <c r="E607" s="19" t="n"/>
      <c r="F607" s="19" t="n"/>
      <c r="G607" s="19" t="n"/>
      <c r="H607" s="19" t="n"/>
      <c r="I607" s="19" t="n"/>
      <c r="J607" s="19" t="n"/>
      <c r="K607" s="20" t="n"/>
      <c r="L607" s="22">
        <f>IF(OR(B607="",K607=""),"",K607-B607)</f>
        <v/>
      </c>
      <c r="M607" s="19" t="n"/>
      <c r="N607" s="19" t="n"/>
      <c r="O607" s="20" t="n"/>
      <c r="P607" s="19" t="n"/>
    </row>
    <row r="608">
      <c r="A608" s="19" t="n"/>
      <c r="B608" s="20" t="n"/>
      <c r="C608" s="21">
        <f>IF(B608="","",DATE(YEAR(B608),MONTH(B608),1))</f>
        <v/>
      </c>
      <c r="D608" s="19" t="n"/>
      <c r="E608" s="19" t="n"/>
      <c r="F608" s="19" t="n"/>
      <c r="G608" s="19" t="n"/>
      <c r="H608" s="19" t="n"/>
      <c r="I608" s="19" t="n"/>
      <c r="J608" s="19" t="n"/>
      <c r="K608" s="20" t="n"/>
      <c r="L608" s="22">
        <f>IF(OR(B608="",K608=""),"",K608-B608)</f>
        <v/>
      </c>
      <c r="M608" s="19" t="n"/>
      <c r="N608" s="19" t="n"/>
      <c r="O608" s="20" t="n"/>
      <c r="P608" s="19" t="n"/>
    </row>
    <row r="609">
      <c r="A609" s="19" t="n"/>
      <c r="B609" s="20" t="n"/>
      <c r="C609" s="21">
        <f>IF(B609="","",DATE(YEAR(B609),MONTH(B609),1))</f>
        <v/>
      </c>
      <c r="D609" s="19" t="n"/>
      <c r="E609" s="19" t="n"/>
      <c r="F609" s="19" t="n"/>
      <c r="G609" s="19" t="n"/>
      <c r="H609" s="19" t="n"/>
      <c r="I609" s="19" t="n"/>
      <c r="J609" s="19" t="n"/>
      <c r="K609" s="20" t="n"/>
      <c r="L609" s="22">
        <f>IF(OR(B609="",K609=""),"",K609-B609)</f>
        <v/>
      </c>
      <c r="M609" s="19" t="n"/>
      <c r="N609" s="19" t="n"/>
      <c r="O609" s="20" t="n"/>
      <c r="P609" s="19" t="n"/>
    </row>
    <row r="610">
      <c r="A610" s="19" t="n"/>
      <c r="B610" s="20" t="n"/>
      <c r="C610" s="21">
        <f>IF(B610="","",DATE(YEAR(B610),MONTH(B610),1))</f>
        <v/>
      </c>
      <c r="D610" s="19" t="n"/>
      <c r="E610" s="19" t="n"/>
      <c r="F610" s="19" t="n"/>
      <c r="G610" s="19" t="n"/>
      <c r="H610" s="19" t="n"/>
      <c r="I610" s="19" t="n"/>
      <c r="J610" s="19" t="n"/>
      <c r="K610" s="20" t="n"/>
      <c r="L610" s="22">
        <f>IF(OR(B610="",K610=""),"",K610-B610)</f>
        <v/>
      </c>
      <c r="M610" s="19" t="n"/>
      <c r="N610" s="19" t="n"/>
      <c r="O610" s="20" t="n"/>
      <c r="P610" s="19" t="n"/>
    </row>
    <row r="611">
      <c r="A611" s="19" t="n"/>
      <c r="B611" s="20" t="n"/>
      <c r="C611" s="21">
        <f>IF(B611="","",DATE(YEAR(B611),MONTH(B611),1))</f>
        <v/>
      </c>
      <c r="D611" s="19" t="n"/>
      <c r="E611" s="19" t="n"/>
      <c r="F611" s="19" t="n"/>
      <c r="G611" s="19" t="n"/>
      <c r="H611" s="19" t="n"/>
      <c r="I611" s="19" t="n"/>
      <c r="J611" s="19" t="n"/>
      <c r="K611" s="20" t="n"/>
      <c r="L611" s="22">
        <f>IF(OR(B611="",K611=""),"",K611-B611)</f>
        <v/>
      </c>
      <c r="M611" s="19" t="n"/>
      <c r="N611" s="19" t="n"/>
      <c r="O611" s="20" t="n"/>
      <c r="P611" s="19" t="n"/>
    </row>
    <row r="612">
      <c r="A612" s="19" t="n"/>
      <c r="B612" s="20" t="n"/>
      <c r="C612" s="21">
        <f>IF(B612="","",DATE(YEAR(B612),MONTH(B612),1))</f>
        <v/>
      </c>
      <c r="D612" s="19" t="n"/>
      <c r="E612" s="19" t="n"/>
      <c r="F612" s="19" t="n"/>
      <c r="G612" s="19" t="n"/>
      <c r="H612" s="19" t="n"/>
      <c r="I612" s="19" t="n"/>
      <c r="J612" s="19" t="n"/>
      <c r="K612" s="20" t="n"/>
      <c r="L612" s="22">
        <f>IF(OR(B612="",K612=""),"",K612-B612)</f>
        <v/>
      </c>
      <c r="M612" s="19" t="n"/>
      <c r="N612" s="19" t="n"/>
      <c r="O612" s="20" t="n"/>
      <c r="P612" s="19" t="n"/>
    </row>
    <row r="613">
      <c r="A613" s="19" t="n"/>
      <c r="B613" s="20" t="n"/>
      <c r="C613" s="21">
        <f>IF(B613="","",DATE(YEAR(B613),MONTH(B613),1))</f>
        <v/>
      </c>
      <c r="D613" s="19" t="n"/>
      <c r="E613" s="19" t="n"/>
      <c r="F613" s="19" t="n"/>
      <c r="G613" s="19" t="n"/>
      <c r="H613" s="19" t="n"/>
      <c r="I613" s="19" t="n"/>
      <c r="J613" s="19" t="n"/>
      <c r="K613" s="20" t="n"/>
      <c r="L613" s="22">
        <f>IF(OR(B613="",K613=""),"",K613-B613)</f>
        <v/>
      </c>
      <c r="M613" s="19" t="n"/>
      <c r="N613" s="19" t="n"/>
      <c r="O613" s="20" t="n"/>
      <c r="P613" s="19" t="n"/>
    </row>
    <row r="614">
      <c r="A614" s="19" t="n"/>
      <c r="B614" s="20" t="n"/>
      <c r="C614" s="21">
        <f>IF(B614="","",DATE(YEAR(B614),MONTH(B614),1))</f>
        <v/>
      </c>
      <c r="D614" s="19" t="n"/>
      <c r="E614" s="19" t="n"/>
      <c r="F614" s="19" t="n"/>
      <c r="G614" s="19" t="n"/>
      <c r="H614" s="19" t="n"/>
      <c r="I614" s="19" t="n"/>
      <c r="J614" s="19" t="n"/>
      <c r="K614" s="20" t="n"/>
      <c r="L614" s="22">
        <f>IF(OR(B614="",K614=""),"",K614-B614)</f>
        <v/>
      </c>
      <c r="M614" s="19" t="n"/>
      <c r="N614" s="19" t="n"/>
      <c r="O614" s="20" t="n"/>
      <c r="P614" s="19" t="n"/>
    </row>
    <row r="615">
      <c r="A615" s="19" t="n"/>
      <c r="B615" s="20" t="n"/>
      <c r="C615" s="21">
        <f>IF(B615="","",DATE(YEAR(B615),MONTH(B615),1))</f>
        <v/>
      </c>
      <c r="D615" s="19" t="n"/>
      <c r="E615" s="19" t="n"/>
      <c r="F615" s="19" t="n"/>
      <c r="G615" s="19" t="n"/>
      <c r="H615" s="19" t="n"/>
      <c r="I615" s="19" t="n"/>
      <c r="J615" s="19" t="n"/>
      <c r="K615" s="20" t="n"/>
      <c r="L615" s="22">
        <f>IF(OR(B615="",K615=""),"",K615-B615)</f>
        <v/>
      </c>
      <c r="M615" s="19" t="n"/>
      <c r="N615" s="19" t="n"/>
      <c r="O615" s="20" t="n"/>
      <c r="P615" s="19" t="n"/>
    </row>
    <row r="616">
      <c r="A616" s="19" t="n"/>
      <c r="B616" s="20" t="n"/>
      <c r="C616" s="21">
        <f>IF(B616="","",DATE(YEAR(B616),MONTH(B616),1))</f>
        <v/>
      </c>
      <c r="D616" s="19" t="n"/>
      <c r="E616" s="19" t="n"/>
      <c r="F616" s="19" t="n"/>
      <c r="G616" s="19" t="n"/>
      <c r="H616" s="19" t="n"/>
      <c r="I616" s="19" t="n"/>
      <c r="J616" s="19" t="n"/>
      <c r="K616" s="20" t="n"/>
      <c r="L616" s="22">
        <f>IF(OR(B616="",K616=""),"",K616-B616)</f>
        <v/>
      </c>
      <c r="M616" s="19" t="n"/>
      <c r="N616" s="19" t="n"/>
      <c r="O616" s="20" t="n"/>
      <c r="P616" s="19" t="n"/>
    </row>
    <row r="617">
      <c r="A617" s="19" t="n"/>
      <c r="B617" s="20" t="n"/>
      <c r="C617" s="21">
        <f>IF(B617="","",DATE(YEAR(B617),MONTH(B617),1))</f>
        <v/>
      </c>
      <c r="D617" s="19" t="n"/>
      <c r="E617" s="19" t="n"/>
      <c r="F617" s="19" t="n"/>
      <c r="G617" s="19" t="n"/>
      <c r="H617" s="19" t="n"/>
      <c r="I617" s="19" t="n"/>
      <c r="J617" s="19" t="n"/>
      <c r="K617" s="20" t="n"/>
      <c r="L617" s="22">
        <f>IF(OR(B617="",K617=""),"",K617-B617)</f>
        <v/>
      </c>
      <c r="M617" s="19" t="n"/>
      <c r="N617" s="19" t="n"/>
      <c r="O617" s="20" t="n"/>
      <c r="P617" s="19" t="n"/>
    </row>
    <row r="618">
      <c r="A618" s="19" t="n"/>
      <c r="B618" s="20" t="n"/>
      <c r="C618" s="21">
        <f>IF(B618="","",DATE(YEAR(B618),MONTH(B618),1))</f>
        <v/>
      </c>
      <c r="D618" s="19" t="n"/>
      <c r="E618" s="19" t="n"/>
      <c r="F618" s="19" t="n"/>
      <c r="G618" s="19" t="n"/>
      <c r="H618" s="19" t="n"/>
      <c r="I618" s="19" t="n"/>
      <c r="J618" s="19" t="n"/>
      <c r="K618" s="20" t="n"/>
      <c r="L618" s="22">
        <f>IF(OR(B618="",K618=""),"",K618-B618)</f>
        <v/>
      </c>
      <c r="M618" s="19" t="n"/>
      <c r="N618" s="19" t="n"/>
      <c r="O618" s="20" t="n"/>
      <c r="P618" s="19" t="n"/>
    </row>
    <row r="619">
      <c r="A619" s="19" t="n"/>
      <c r="B619" s="20" t="n"/>
      <c r="C619" s="21">
        <f>IF(B619="","",DATE(YEAR(B619),MONTH(B619),1))</f>
        <v/>
      </c>
      <c r="D619" s="19" t="n"/>
      <c r="E619" s="19" t="n"/>
      <c r="F619" s="19" t="n"/>
      <c r="G619" s="19" t="n"/>
      <c r="H619" s="19" t="n"/>
      <c r="I619" s="19" t="n"/>
      <c r="J619" s="19" t="n"/>
      <c r="K619" s="20" t="n"/>
      <c r="L619" s="22">
        <f>IF(OR(B619="",K619=""),"",K619-B619)</f>
        <v/>
      </c>
      <c r="M619" s="19" t="n"/>
      <c r="N619" s="19" t="n"/>
      <c r="O619" s="20" t="n"/>
      <c r="P619" s="19" t="n"/>
    </row>
    <row r="620">
      <c r="A620" s="19" t="n"/>
      <c r="B620" s="20" t="n"/>
      <c r="C620" s="21">
        <f>IF(B620="","",DATE(YEAR(B620),MONTH(B620),1))</f>
        <v/>
      </c>
      <c r="D620" s="19" t="n"/>
      <c r="E620" s="19" t="n"/>
      <c r="F620" s="19" t="n"/>
      <c r="G620" s="19" t="n"/>
      <c r="H620" s="19" t="n"/>
      <c r="I620" s="19" t="n"/>
      <c r="J620" s="19" t="n"/>
      <c r="K620" s="20" t="n"/>
      <c r="L620" s="22">
        <f>IF(OR(B620="",K620=""),"",K620-B620)</f>
        <v/>
      </c>
      <c r="M620" s="19" t="n"/>
      <c r="N620" s="19" t="n"/>
      <c r="O620" s="20" t="n"/>
      <c r="P620" s="19" t="n"/>
    </row>
    <row r="621">
      <c r="A621" s="19" t="n"/>
      <c r="B621" s="20" t="n"/>
      <c r="C621" s="21">
        <f>IF(B621="","",DATE(YEAR(B621),MONTH(B621),1))</f>
        <v/>
      </c>
      <c r="D621" s="19" t="n"/>
      <c r="E621" s="19" t="n"/>
      <c r="F621" s="19" t="n"/>
      <c r="G621" s="19" t="n"/>
      <c r="H621" s="19" t="n"/>
      <c r="I621" s="19" t="n"/>
      <c r="J621" s="19" t="n"/>
      <c r="K621" s="20" t="n"/>
      <c r="L621" s="22">
        <f>IF(OR(B621="",K621=""),"",K621-B621)</f>
        <v/>
      </c>
      <c r="M621" s="19" t="n"/>
      <c r="N621" s="19" t="n"/>
      <c r="O621" s="20" t="n"/>
      <c r="P621" s="19" t="n"/>
    </row>
    <row r="622">
      <c r="A622" s="19" t="n"/>
      <c r="B622" s="20" t="n"/>
      <c r="C622" s="21">
        <f>IF(B622="","",DATE(YEAR(B622),MONTH(B622),1))</f>
        <v/>
      </c>
      <c r="D622" s="19" t="n"/>
      <c r="E622" s="19" t="n"/>
      <c r="F622" s="19" t="n"/>
      <c r="G622" s="19" t="n"/>
      <c r="H622" s="19" t="n"/>
      <c r="I622" s="19" t="n"/>
      <c r="J622" s="19" t="n"/>
      <c r="K622" s="20" t="n"/>
      <c r="L622" s="22">
        <f>IF(OR(B622="",K622=""),"",K622-B622)</f>
        <v/>
      </c>
      <c r="M622" s="19" t="n"/>
      <c r="N622" s="19" t="n"/>
      <c r="O622" s="20" t="n"/>
      <c r="P622" s="19" t="n"/>
    </row>
    <row r="623">
      <c r="A623" s="19" t="n"/>
      <c r="B623" s="20" t="n"/>
      <c r="C623" s="21">
        <f>IF(B623="","",DATE(YEAR(B623),MONTH(B623),1))</f>
        <v/>
      </c>
      <c r="D623" s="19" t="n"/>
      <c r="E623" s="19" t="n"/>
      <c r="F623" s="19" t="n"/>
      <c r="G623" s="19" t="n"/>
      <c r="H623" s="19" t="n"/>
      <c r="I623" s="19" t="n"/>
      <c r="J623" s="19" t="n"/>
      <c r="K623" s="20" t="n"/>
      <c r="L623" s="22">
        <f>IF(OR(B623="",K623=""),"",K623-B623)</f>
        <v/>
      </c>
      <c r="M623" s="19" t="n"/>
      <c r="N623" s="19" t="n"/>
      <c r="O623" s="20" t="n"/>
      <c r="P623" s="19" t="n"/>
    </row>
    <row r="624">
      <c r="A624" s="19" t="n"/>
      <c r="B624" s="20" t="n"/>
      <c r="C624" s="21">
        <f>IF(B624="","",DATE(YEAR(B624),MONTH(B624),1))</f>
        <v/>
      </c>
      <c r="D624" s="19" t="n"/>
      <c r="E624" s="19" t="n"/>
      <c r="F624" s="19" t="n"/>
      <c r="G624" s="19" t="n"/>
      <c r="H624" s="19" t="n"/>
      <c r="I624" s="19" t="n"/>
      <c r="J624" s="19" t="n"/>
      <c r="K624" s="20" t="n"/>
      <c r="L624" s="22">
        <f>IF(OR(B624="",K624=""),"",K624-B624)</f>
        <v/>
      </c>
      <c r="M624" s="19" t="n"/>
      <c r="N624" s="19" t="n"/>
      <c r="O624" s="20" t="n"/>
      <c r="P624" s="19" t="n"/>
    </row>
    <row r="625">
      <c r="A625" s="19" t="n"/>
      <c r="B625" s="20" t="n"/>
      <c r="C625" s="21">
        <f>IF(B625="","",DATE(YEAR(B625),MONTH(B625),1))</f>
        <v/>
      </c>
      <c r="D625" s="19" t="n"/>
      <c r="E625" s="19" t="n"/>
      <c r="F625" s="19" t="n"/>
      <c r="G625" s="19" t="n"/>
      <c r="H625" s="19" t="n"/>
      <c r="I625" s="19" t="n"/>
      <c r="J625" s="19" t="n"/>
      <c r="K625" s="20" t="n"/>
      <c r="L625" s="22">
        <f>IF(OR(B625="",K625=""),"",K625-B625)</f>
        <v/>
      </c>
      <c r="M625" s="19" t="n"/>
      <c r="N625" s="19" t="n"/>
      <c r="O625" s="20" t="n"/>
      <c r="P625" s="19" t="n"/>
    </row>
    <row r="626">
      <c r="A626" s="19" t="n"/>
      <c r="B626" s="20" t="n"/>
      <c r="C626" s="21">
        <f>IF(B626="","",DATE(YEAR(B626),MONTH(B626),1))</f>
        <v/>
      </c>
      <c r="D626" s="19" t="n"/>
      <c r="E626" s="19" t="n"/>
      <c r="F626" s="19" t="n"/>
      <c r="G626" s="19" t="n"/>
      <c r="H626" s="19" t="n"/>
      <c r="I626" s="19" t="n"/>
      <c r="J626" s="19" t="n"/>
      <c r="K626" s="20" t="n"/>
      <c r="L626" s="22">
        <f>IF(OR(B626="",K626=""),"",K626-B626)</f>
        <v/>
      </c>
      <c r="M626" s="19" t="n"/>
      <c r="N626" s="19" t="n"/>
      <c r="O626" s="20" t="n"/>
      <c r="P626" s="19" t="n"/>
    </row>
    <row r="627">
      <c r="A627" s="19" t="n"/>
      <c r="B627" s="20" t="n"/>
      <c r="C627" s="21">
        <f>IF(B627="","",DATE(YEAR(B627),MONTH(B627),1))</f>
        <v/>
      </c>
      <c r="D627" s="19" t="n"/>
      <c r="E627" s="19" t="n"/>
      <c r="F627" s="19" t="n"/>
      <c r="G627" s="19" t="n"/>
      <c r="H627" s="19" t="n"/>
      <c r="I627" s="19" t="n"/>
      <c r="J627" s="19" t="n"/>
      <c r="K627" s="20" t="n"/>
      <c r="L627" s="22">
        <f>IF(OR(B627="",K627=""),"",K627-B627)</f>
        <v/>
      </c>
      <c r="M627" s="19" t="n"/>
      <c r="N627" s="19" t="n"/>
      <c r="O627" s="20" t="n"/>
      <c r="P627" s="19" t="n"/>
    </row>
    <row r="628">
      <c r="A628" s="19" t="n"/>
      <c r="B628" s="20" t="n"/>
      <c r="C628" s="21">
        <f>IF(B628="","",DATE(YEAR(B628),MONTH(B628),1))</f>
        <v/>
      </c>
      <c r="D628" s="19" t="n"/>
      <c r="E628" s="19" t="n"/>
      <c r="F628" s="19" t="n"/>
      <c r="G628" s="19" t="n"/>
      <c r="H628" s="19" t="n"/>
      <c r="I628" s="19" t="n"/>
      <c r="J628" s="19" t="n"/>
      <c r="K628" s="20" t="n"/>
      <c r="L628" s="22">
        <f>IF(OR(B628="",K628=""),"",K628-B628)</f>
        <v/>
      </c>
      <c r="M628" s="19" t="n"/>
      <c r="N628" s="19" t="n"/>
      <c r="O628" s="20" t="n"/>
      <c r="P628" s="19" t="n"/>
    </row>
    <row r="629">
      <c r="A629" s="19" t="n"/>
      <c r="B629" s="20" t="n"/>
      <c r="C629" s="21">
        <f>IF(B629="","",DATE(YEAR(B629),MONTH(B629),1))</f>
        <v/>
      </c>
      <c r="D629" s="19" t="n"/>
      <c r="E629" s="19" t="n"/>
      <c r="F629" s="19" t="n"/>
      <c r="G629" s="19" t="n"/>
      <c r="H629" s="19" t="n"/>
      <c r="I629" s="19" t="n"/>
      <c r="J629" s="19" t="n"/>
      <c r="K629" s="20" t="n"/>
      <c r="L629" s="22">
        <f>IF(OR(B629="",K629=""),"",K629-B629)</f>
        <v/>
      </c>
      <c r="M629" s="19" t="n"/>
      <c r="N629" s="19" t="n"/>
      <c r="O629" s="20" t="n"/>
      <c r="P629" s="19" t="n"/>
    </row>
    <row r="630">
      <c r="A630" s="19" t="n"/>
      <c r="B630" s="20" t="n"/>
      <c r="C630" s="21">
        <f>IF(B630="","",DATE(YEAR(B630),MONTH(B630),1))</f>
        <v/>
      </c>
      <c r="D630" s="19" t="n"/>
      <c r="E630" s="19" t="n"/>
      <c r="F630" s="19" t="n"/>
      <c r="G630" s="19" t="n"/>
      <c r="H630" s="19" t="n"/>
      <c r="I630" s="19" t="n"/>
      <c r="J630" s="19" t="n"/>
      <c r="K630" s="20" t="n"/>
      <c r="L630" s="22">
        <f>IF(OR(B630="",K630=""),"",K630-B630)</f>
        <v/>
      </c>
      <c r="M630" s="19" t="n"/>
      <c r="N630" s="19" t="n"/>
      <c r="O630" s="20" t="n"/>
      <c r="P630" s="19" t="n"/>
    </row>
    <row r="631">
      <c r="A631" s="19" t="n"/>
      <c r="B631" s="20" t="n"/>
      <c r="C631" s="21">
        <f>IF(B631="","",DATE(YEAR(B631),MONTH(B631),1))</f>
        <v/>
      </c>
      <c r="D631" s="19" t="n"/>
      <c r="E631" s="19" t="n"/>
      <c r="F631" s="19" t="n"/>
      <c r="G631" s="19" t="n"/>
      <c r="H631" s="19" t="n"/>
      <c r="I631" s="19" t="n"/>
      <c r="J631" s="19" t="n"/>
      <c r="K631" s="20" t="n"/>
      <c r="L631" s="22">
        <f>IF(OR(B631="",K631=""),"",K631-B631)</f>
        <v/>
      </c>
      <c r="M631" s="19" t="n"/>
      <c r="N631" s="19" t="n"/>
      <c r="O631" s="20" t="n"/>
      <c r="P631" s="19" t="n"/>
    </row>
    <row r="632">
      <c r="A632" s="19" t="n"/>
      <c r="B632" s="20" t="n"/>
      <c r="C632" s="21">
        <f>IF(B632="","",DATE(YEAR(B632),MONTH(B632),1))</f>
        <v/>
      </c>
      <c r="D632" s="19" t="n"/>
      <c r="E632" s="19" t="n"/>
      <c r="F632" s="19" t="n"/>
      <c r="G632" s="19" t="n"/>
      <c r="H632" s="19" t="n"/>
      <c r="I632" s="19" t="n"/>
      <c r="J632" s="19" t="n"/>
      <c r="K632" s="20" t="n"/>
      <c r="L632" s="22">
        <f>IF(OR(B632="",K632=""),"",K632-B632)</f>
        <v/>
      </c>
      <c r="M632" s="19" t="n"/>
      <c r="N632" s="19" t="n"/>
      <c r="O632" s="20" t="n"/>
      <c r="P632" s="19" t="n"/>
    </row>
    <row r="633">
      <c r="A633" s="19" t="n"/>
      <c r="B633" s="20" t="n"/>
      <c r="C633" s="21">
        <f>IF(B633="","",DATE(YEAR(B633),MONTH(B633),1))</f>
        <v/>
      </c>
      <c r="D633" s="19" t="n"/>
      <c r="E633" s="19" t="n"/>
      <c r="F633" s="19" t="n"/>
      <c r="G633" s="19" t="n"/>
      <c r="H633" s="19" t="n"/>
      <c r="I633" s="19" t="n"/>
      <c r="J633" s="19" t="n"/>
      <c r="K633" s="20" t="n"/>
      <c r="L633" s="22">
        <f>IF(OR(B633="",K633=""),"",K633-B633)</f>
        <v/>
      </c>
      <c r="M633" s="19" t="n"/>
      <c r="N633" s="19" t="n"/>
      <c r="O633" s="20" t="n"/>
      <c r="P633" s="19" t="n"/>
    </row>
    <row r="634">
      <c r="A634" s="19" t="n"/>
      <c r="B634" s="20" t="n"/>
      <c r="C634" s="21">
        <f>IF(B634="","",DATE(YEAR(B634),MONTH(B634),1))</f>
        <v/>
      </c>
      <c r="D634" s="19" t="n"/>
      <c r="E634" s="19" t="n"/>
      <c r="F634" s="19" t="n"/>
      <c r="G634" s="19" t="n"/>
      <c r="H634" s="19" t="n"/>
      <c r="I634" s="19" t="n"/>
      <c r="J634" s="19" t="n"/>
      <c r="K634" s="20" t="n"/>
      <c r="L634" s="22">
        <f>IF(OR(B634="",K634=""),"",K634-B634)</f>
        <v/>
      </c>
      <c r="M634" s="19" t="n"/>
      <c r="N634" s="19" t="n"/>
      <c r="O634" s="20" t="n"/>
      <c r="P634" s="19" t="n"/>
    </row>
    <row r="635">
      <c r="A635" s="19" t="n"/>
      <c r="B635" s="20" t="n"/>
      <c r="C635" s="21">
        <f>IF(B635="","",DATE(YEAR(B635),MONTH(B635),1))</f>
        <v/>
      </c>
      <c r="D635" s="19" t="n"/>
      <c r="E635" s="19" t="n"/>
      <c r="F635" s="19" t="n"/>
      <c r="G635" s="19" t="n"/>
      <c r="H635" s="19" t="n"/>
      <c r="I635" s="19" t="n"/>
      <c r="J635" s="19" t="n"/>
      <c r="K635" s="20" t="n"/>
      <c r="L635" s="22">
        <f>IF(OR(B635="",K635=""),"",K635-B635)</f>
        <v/>
      </c>
      <c r="M635" s="19" t="n"/>
      <c r="N635" s="19" t="n"/>
      <c r="O635" s="20" t="n"/>
      <c r="P635" s="19" t="n"/>
    </row>
    <row r="636">
      <c r="A636" s="19" t="n"/>
      <c r="B636" s="20" t="n"/>
      <c r="C636" s="21">
        <f>IF(B636="","",DATE(YEAR(B636),MONTH(B636),1))</f>
        <v/>
      </c>
      <c r="D636" s="19" t="n"/>
      <c r="E636" s="19" t="n"/>
      <c r="F636" s="19" t="n"/>
      <c r="G636" s="19" t="n"/>
      <c r="H636" s="19" t="n"/>
      <c r="I636" s="19" t="n"/>
      <c r="J636" s="19" t="n"/>
      <c r="K636" s="20" t="n"/>
      <c r="L636" s="22">
        <f>IF(OR(B636="",K636=""),"",K636-B636)</f>
        <v/>
      </c>
      <c r="M636" s="19" t="n"/>
      <c r="N636" s="19" t="n"/>
      <c r="O636" s="20" t="n"/>
      <c r="P636" s="19" t="n"/>
    </row>
    <row r="637">
      <c r="A637" s="19" t="n"/>
      <c r="B637" s="20" t="n"/>
      <c r="C637" s="21">
        <f>IF(B637="","",DATE(YEAR(B637),MONTH(B637),1))</f>
        <v/>
      </c>
      <c r="D637" s="19" t="n"/>
      <c r="E637" s="19" t="n"/>
      <c r="F637" s="19" t="n"/>
      <c r="G637" s="19" t="n"/>
      <c r="H637" s="19" t="n"/>
      <c r="I637" s="19" t="n"/>
      <c r="J637" s="19" t="n"/>
      <c r="K637" s="20" t="n"/>
      <c r="L637" s="22">
        <f>IF(OR(B637="",K637=""),"",K637-B637)</f>
        <v/>
      </c>
      <c r="M637" s="19" t="n"/>
      <c r="N637" s="19" t="n"/>
      <c r="O637" s="20" t="n"/>
      <c r="P637" s="19" t="n"/>
    </row>
    <row r="638">
      <c r="A638" s="19" t="n"/>
      <c r="B638" s="20" t="n"/>
      <c r="C638" s="21">
        <f>IF(B638="","",DATE(YEAR(B638),MONTH(B638),1))</f>
        <v/>
      </c>
      <c r="D638" s="19" t="n"/>
      <c r="E638" s="19" t="n"/>
      <c r="F638" s="19" t="n"/>
      <c r="G638" s="19" t="n"/>
      <c r="H638" s="19" t="n"/>
      <c r="I638" s="19" t="n"/>
      <c r="J638" s="19" t="n"/>
      <c r="K638" s="20" t="n"/>
      <c r="L638" s="22">
        <f>IF(OR(B638="",K638=""),"",K638-B638)</f>
        <v/>
      </c>
      <c r="M638" s="19" t="n"/>
      <c r="N638" s="19" t="n"/>
      <c r="O638" s="20" t="n"/>
      <c r="P638" s="19" t="n"/>
    </row>
    <row r="639">
      <c r="A639" s="19" t="n"/>
      <c r="B639" s="20" t="n"/>
      <c r="C639" s="21">
        <f>IF(B639="","",DATE(YEAR(B639),MONTH(B639),1))</f>
        <v/>
      </c>
      <c r="D639" s="19" t="n"/>
      <c r="E639" s="19" t="n"/>
      <c r="F639" s="19" t="n"/>
      <c r="G639" s="19" t="n"/>
      <c r="H639" s="19" t="n"/>
      <c r="I639" s="19" t="n"/>
      <c r="J639" s="19" t="n"/>
      <c r="K639" s="20" t="n"/>
      <c r="L639" s="22">
        <f>IF(OR(B639="",K639=""),"",K639-B639)</f>
        <v/>
      </c>
      <c r="M639" s="19" t="n"/>
      <c r="N639" s="19" t="n"/>
      <c r="O639" s="20" t="n"/>
      <c r="P639" s="19" t="n"/>
    </row>
    <row r="640">
      <c r="A640" s="19" t="n"/>
      <c r="B640" s="20" t="n"/>
      <c r="C640" s="21">
        <f>IF(B640="","",DATE(YEAR(B640),MONTH(B640),1))</f>
        <v/>
      </c>
      <c r="D640" s="19" t="n"/>
      <c r="E640" s="19" t="n"/>
      <c r="F640" s="19" t="n"/>
      <c r="G640" s="19" t="n"/>
      <c r="H640" s="19" t="n"/>
      <c r="I640" s="19" t="n"/>
      <c r="J640" s="19" t="n"/>
      <c r="K640" s="20" t="n"/>
      <c r="L640" s="22">
        <f>IF(OR(B640="",K640=""),"",K640-B640)</f>
        <v/>
      </c>
      <c r="M640" s="19" t="n"/>
      <c r="N640" s="19" t="n"/>
      <c r="O640" s="20" t="n"/>
      <c r="P640" s="19" t="n"/>
    </row>
    <row r="641">
      <c r="A641" s="19" t="n"/>
      <c r="B641" s="20" t="n"/>
      <c r="C641" s="21">
        <f>IF(B641="","",DATE(YEAR(B641),MONTH(B641),1))</f>
        <v/>
      </c>
      <c r="D641" s="19" t="n"/>
      <c r="E641" s="19" t="n"/>
      <c r="F641" s="19" t="n"/>
      <c r="G641" s="19" t="n"/>
      <c r="H641" s="19" t="n"/>
      <c r="I641" s="19" t="n"/>
      <c r="J641" s="19" t="n"/>
      <c r="K641" s="20" t="n"/>
      <c r="L641" s="22">
        <f>IF(OR(B641="",K641=""),"",K641-B641)</f>
        <v/>
      </c>
      <c r="M641" s="19" t="n"/>
      <c r="N641" s="19" t="n"/>
      <c r="O641" s="20" t="n"/>
      <c r="P641" s="19" t="n"/>
    </row>
    <row r="642">
      <c r="A642" s="19" t="n"/>
      <c r="B642" s="20" t="n"/>
      <c r="C642" s="21">
        <f>IF(B642="","",DATE(YEAR(B642),MONTH(B642),1))</f>
        <v/>
      </c>
      <c r="D642" s="19" t="n"/>
      <c r="E642" s="19" t="n"/>
      <c r="F642" s="19" t="n"/>
      <c r="G642" s="19" t="n"/>
      <c r="H642" s="19" t="n"/>
      <c r="I642" s="19" t="n"/>
      <c r="J642" s="19" t="n"/>
      <c r="K642" s="20" t="n"/>
      <c r="L642" s="22">
        <f>IF(OR(B642="",K642=""),"",K642-B642)</f>
        <v/>
      </c>
      <c r="M642" s="19" t="n"/>
      <c r="N642" s="19" t="n"/>
      <c r="O642" s="20" t="n"/>
      <c r="P642" s="19" t="n"/>
    </row>
    <row r="643">
      <c r="A643" s="19" t="n"/>
      <c r="B643" s="20" t="n"/>
      <c r="C643" s="21">
        <f>IF(B643="","",DATE(YEAR(B643),MONTH(B643),1))</f>
        <v/>
      </c>
      <c r="D643" s="19" t="n"/>
      <c r="E643" s="19" t="n"/>
      <c r="F643" s="19" t="n"/>
      <c r="G643" s="19" t="n"/>
      <c r="H643" s="19" t="n"/>
      <c r="I643" s="19" t="n"/>
      <c r="J643" s="19" t="n"/>
      <c r="K643" s="20" t="n"/>
      <c r="L643" s="22">
        <f>IF(OR(B643="",K643=""),"",K643-B643)</f>
        <v/>
      </c>
      <c r="M643" s="19" t="n"/>
      <c r="N643" s="19" t="n"/>
      <c r="O643" s="20" t="n"/>
      <c r="P643" s="19" t="n"/>
    </row>
    <row r="644">
      <c r="A644" s="19" t="n"/>
      <c r="B644" s="20" t="n"/>
      <c r="C644" s="21">
        <f>IF(B644="","",DATE(YEAR(B644),MONTH(B644),1))</f>
        <v/>
      </c>
      <c r="D644" s="19" t="n"/>
      <c r="E644" s="19" t="n"/>
      <c r="F644" s="19" t="n"/>
      <c r="G644" s="19" t="n"/>
      <c r="H644" s="19" t="n"/>
      <c r="I644" s="19" t="n"/>
      <c r="J644" s="19" t="n"/>
      <c r="K644" s="20" t="n"/>
      <c r="L644" s="22">
        <f>IF(OR(B644="",K644=""),"",K644-B644)</f>
        <v/>
      </c>
      <c r="M644" s="19" t="n"/>
      <c r="N644" s="19" t="n"/>
      <c r="O644" s="20" t="n"/>
      <c r="P644" s="19" t="n"/>
    </row>
    <row r="645">
      <c r="A645" s="19" t="n"/>
      <c r="B645" s="20" t="n"/>
      <c r="C645" s="21">
        <f>IF(B645="","",DATE(YEAR(B645),MONTH(B645),1))</f>
        <v/>
      </c>
      <c r="D645" s="19" t="n"/>
      <c r="E645" s="19" t="n"/>
      <c r="F645" s="19" t="n"/>
      <c r="G645" s="19" t="n"/>
      <c r="H645" s="19" t="n"/>
      <c r="I645" s="19" t="n"/>
      <c r="J645" s="19" t="n"/>
      <c r="K645" s="20" t="n"/>
      <c r="L645" s="22">
        <f>IF(OR(B645="",K645=""),"",K645-B645)</f>
        <v/>
      </c>
      <c r="M645" s="19" t="n"/>
      <c r="N645" s="19" t="n"/>
      <c r="O645" s="20" t="n"/>
      <c r="P645" s="19" t="n"/>
    </row>
    <row r="646">
      <c r="A646" s="19" t="n"/>
      <c r="B646" s="20" t="n"/>
      <c r="C646" s="21">
        <f>IF(B646="","",DATE(YEAR(B646),MONTH(B646),1))</f>
        <v/>
      </c>
      <c r="D646" s="19" t="n"/>
      <c r="E646" s="19" t="n"/>
      <c r="F646" s="19" t="n"/>
      <c r="G646" s="19" t="n"/>
      <c r="H646" s="19" t="n"/>
      <c r="I646" s="19" t="n"/>
      <c r="J646" s="19" t="n"/>
      <c r="K646" s="20" t="n"/>
      <c r="L646" s="22">
        <f>IF(OR(B646="",K646=""),"",K646-B646)</f>
        <v/>
      </c>
      <c r="M646" s="19" t="n"/>
      <c r="N646" s="19" t="n"/>
      <c r="O646" s="20" t="n"/>
      <c r="P646" s="19" t="n"/>
    </row>
    <row r="647">
      <c r="A647" s="19" t="n"/>
      <c r="B647" s="20" t="n"/>
      <c r="C647" s="21">
        <f>IF(B647="","",DATE(YEAR(B647),MONTH(B647),1))</f>
        <v/>
      </c>
      <c r="D647" s="19" t="n"/>
      <c r="E647" s="19" t="n"/>
      <c r="F647" s="19" t="n"/>
      <c r="G647" s="19" t="n"/>
      <c r="H647" s="19" t="n"/>
      <c r="I647" s="19" t="n"/>
      <c r="J647" s="19" t="n"/>
      <c r="K647" s="20" t="n"/>
      <c r="L647" s="22">
        <f>IF(OR(B647="",K647=""),"",K647-B647)</f>
        <v/>
      </c>
      <c r="M647" s="19" t="n"/>
      <c r="N647" s="19" t="n"/>
      <c r="O647" s="20" t="n"/>
      <c r="P647" s="19" t="n"/>
    </row>
    <row r="648">
      <c r="A648" s="19" t="n"/>
      <c r="B648" s="20" t="n"/>
      <c r="C648" s="21">
        <f>IF(B648="","",DATE(YEAR(B648),MONTH(B648),1))</f>
        <v/>
      </c>
      <c r="D648" s="19" t="n"/>
      <c r="E648" s="19" t="n"/>
      <c r="F648" s="19" t="n"/>
      <c r="G648" s="19" t="n"/>
      <c r="H648" s="19" t="n"/>
      <c r="I648" s="19" t="n"/>
      <c r="J648" s="19" t="n"/>
      <c r="K648" s="20" t="n"/>
      <c r="L648" s="22">
        <f>IF(OR(B648="",K648=""),"",K648-B648)</f>
        <v/>
      </c>
      <c r="M648" s="19" t="n"/>
      <c r="N648" s="19" t="n"/>
      <c r="O648" s="20" t="n"/>
      <c r="P648" s="19" t="n"/>
    </row>
    <row r="649">
      <c r="A649" s="19" t="n"/>
      <c r="B649" s="20" t="n"/>
      <c r="C649" s="21">
        <f>IF(B649="","",DATE(YEAR(B649),MONTH(B649),1))</f>
        <v/>
      </c>
      <c r="D649" s="19" t="n"/>
      <c r="E649" s="19" t="n"/>
      <c r="F649" s="19" t="n"/>
      <c r="G649" s="19" t="n"/>
      <c r="H649" s="19" t="n"/>
      <c r="I649" s="19" t="n"/>
      <c r="J649" s="19" t="n"/>
      <c r="K649" s="20" t="n"/>
      <c r="L649" s="22">
        <f>IF(OR(B649="",K649=""),"",K649-B649)</f>
        <v/>
      </c>
      <c r="M649" s="19" t="n"/>
      <c r="N649" s="19" t="n"/>
      <c r="O649" s="20" t="n"/>
      <c r="P649" s="19" t="n"/>
    </row>
    <row r="650">
      <c r="A650" s="19" t="n"/>
      <c r="B650" s="20" t="n"/>
      <c r="C650" s="21">
        <f>IF(B650="","",DATE(YEAR(B650),MONTH(B650),1))</f>
        <v/>
      </c>
      <c r="D650" s="19" t="n"/>
      <c r="E650" s="19" t="n"/>
      <c r="F650" s="19" t="n"/>
      <c r="G650" s="19" t="n"/>
      <c r="H650" s="19" t="n"/>
      <c r="I650" s="19" t="n"/>
      <c r="J650" s="19" t="n"/>
      <c r="K650" s="20" t="n"/>
      <c r="L650" s="22">
        <f>IF(OR(B650="",K650=""),"",K650-B650)</f>
        <v/>
      </c>
      <c r="M650" s="19" t="n"/>
      <c r="N650" s="19" t="n"/>
      <c r="O650" s="20" t="n"/>
      <c r="P650" s="19" t="n"/>
    </row>
    <row r="651">
      <c r="A651" s="19" t="n"/>
      <c r="B651" s="20" t="n"/>
      <c r="C651" s="21">
        <f>IF(B651="","",DATE(YEAR(B651),MONTH(B651),1))</f>
        <v/>
      </c>
      <c r="D651" s="19" t="n"/>
      <c r="E651" s="19" t="n"/>
      <c r="F651" s="19" t="n"/>
      <c r="G651" s="19" t="n"/>
      <c r="H651" s="19" t="n"/>
      <c r="I651" s="19" t="n"/>
      <c r="J651" s="19" t="n"/>
      <c r="K651" s="20" t="n"/>
      <c r="L651" s="22">
        <f>IF(OR(B651="",K651=""),"",K651-B651)</f>
        <v/>
      </c>
      <c r="M651" s="19" t="n"/>
      <c r="N651" s="19" t="n"/>
      <c r="O651" s="20" t="n"/>
      <c r="P651" s="19" t="n"/>
    </row>
    <row r="652">
      <c r="A652" s="19" t="n"/>
      <c r="B652" s="20" t="n"/>
      <c r="C652" s="21">
        <f>IF(B652="","",DATE(YEAR(B652),MONTH(B652),1))</f>
        <v/>
      </c>
      <c r="D652" s="19" t="n"/>
      <c r="E652" s="19" t="n"/>
      <c r="F652" s="19" t="n"/>
      <c r="G652" s="19" t="n"/>
      <c r="H652" s="19" t="n"/>
      <c r="I652" s="19" t="n"/>
      <c r="J652" s="19" t="n"/>
      <c r="K652" s="20" t="n"/>
      <c r="L652" s="22">
        <f>IF(OR(B652="",K652=""),"",K652-B652)</f>
        <v/>
      </c>
      <c r="M652" s="19" t="n"/>
      <c r="N652" s="19" t="n"/>
      <c r="O652" s="20" t="n"/>
      <c r="P652" s="19" t="n"/>
    </row>
    <row r="653">
      <c r="A653" s="19" t="n"/>
      <c r="B653" s="20" t="n"/>
      <c r="C653" s="21">
        <f>IF(B653="","",DATE(YEAR(B653),MONTH(B653),1))</f>
        <v/>
      </c>
      <c r="D653" s="19" t="n"/>
      <c r="E653" s="19" t="n"/>
      <c r="F653" s="19" t="n"/>
      <c r="G653" s="19" t="n"/>
      <c r="H653" s="19" t="n"/>
      <c r="I653" s="19" t="n"/>
      <c r="J653" s="19" t="n"/>
      <c r="K653" s="20" t="n"/>
      <c r="L653" s="22">
        <f>IF(OR(B653="",K653=""),"",K653-B653)</f>
        <v/>
      </c>
      <c r="M653" s="19" t="n"/>
      <c r="N653" s="19" t="n"/>
      <c r="O653" s="20" t="n"/>
      <c r="P653" s="19" t="n"/>
    </row>
    <row r="654">
      <c r="A654" s="19" t="n"/>
      <c r="B654" s="20" t="n"/>
      <c r="C654" s="21">
        <f>IF(B654="","",DATE(YEAR(B654),MONTH(B654),1))</f>
        <v/>
      </c>
      <c r="D654" s="19" t="n"/>
      <c r="E654" s="19" t="n"/>
      <c r="F654" s="19" t="n"/>
      <c r="G654" s="19" t="n"/>
      <c r="H654" s="19" t="n"/>
      <c r="I654" s="19" t="n"/>
      <c r="J654" s="19" t="n"/>
      <c r="K654" s="20" t="n"/>
      <c r="L654" s="22">
        <f>IF(OR(B654="",K654=""),"",K654-B654)</f>
        <v/>
      </c>
      <c r="M654" s="19" t="n"/>
      <c r="N654" s="19" t="n"/>
      <c r="O654" s="20" t="n"/>
      <c r="P654" s="19" t="n"/>
    </row>
    <row r="655">
      <c r="A655" s="19" t="n"/>
      <c r="B655" s="20" t="n"/>
      <c r="C655" s="21">
        <f>IF(B655="","",DATE(YEAR(B655),MONTH(B655),1))</f>
        <v/>
      </c>
      <c r="D655" s="19" t="n"/>
      <c r="E655" s="19" t="n"/>
      <c r="F655" s="19" t="n"/>
      <c r="G655" s="19" t="n"/>
      <c r="H655" s="19" t="n"/>
      <c r="I655" s="19" t="n"/>
      <c r="J655" s="19" t="n"/>
      <c r="K655" s="20" t="n"/>
      <c r="L655" s="22">
        <f>IF(OR(B655="",K655=""),"",K655-B655)</f>
        <v/>
      </c>
      <c r="M655" s="19" t="n"/>
      <c r="N655" s="19" t="n"/>
      <c r="O655" s="20" t="n"/>
      <c r="P655" s="19" t="n"/>
    </row>
    <row r="656">
      <c r="A656" s="19" t="n"/>
      <c r="B656" s="20" t="n"/>
      <c r="C656" s="21">
        <f>IF(B656="","",DATE(YEAR(B656),MONTH(B656),1))</f>
        <v/>
      </c>
      <c r="D656" s="19" t="n"/>
      <c r="E656" s="19" t="n"/>
      <c r="F656" s="19" t="n"/>
      <c r="G656" s="19" t="n"/>
      <c r="H656" s="19" t="n"/>
      <c r="I656" s="19" t="n"/>
      <c r="J656" s="19" t="n"/>
      <c r="K656" s="20" t="n"/>
      <c r="L656" s="22">
        <f>IF(OR(B656="",K656=""),"",K656-B656)</f>
        <v/>
      </c>
      <c r="M656" s="19" t="n"/>
      <c r="N656" s="19" t="n"/>
      <c r="O656" s="20" t="n"/>
      <c r="P656" s="19" t="n"/>
    </row>
    <row r="657">
      <c r="A657" s="19" t="n"/>
      <c r="B657" s="20" t="n"/>
      <c r="C657" s="21">
        <f>IF(B657="","",DATE(YEAR(B657),MONTH(B657),1))</f>
        <v/>
      </c>
      <c r="D657" s="19" t="n"/>
      <c r="E657" s="19" t="n"/>
      <c r="F657" s="19" t="n"/>
      <c r="G657" s="19" t="n"/>
      <c r="H657" s="19" t="n"/>
      <c r="I657" s="19" t="n"/>
      <c r="J657" s="19" t="n"/>
      <c r="K657" s="20" t="n"/>
      <c r="L657" s="22">
        <f>IF(OR(B657="",K657=""),"",K657-B657)</f>
        <v/>
      </c>
      <c r="M657" s="19" t="n"/>
      <c r="N657" s="19" t="n"/>
      <c r="O657" s="20" t="n"/>
      <c r="P657" s="19" t="n"/>
    </row>
    <row r="658">
      <c r="A658" s="19" t="n"/>
      <c r="B658" s="20" t="n"/>
      <c r="C658" s="21">
        <f>IF(B658="","",DATE(YEAR(B658),MONTH(B658),1))</f>
        <v/>
      </c>
      <c r="D658" s="19" t="n"/>
      <c r="E658" s="19" t="n"/>
      <c r="F658" s="19" t="n"/>
      <c r="G658" s="19" t="n"/>
      <c r="H658" s="19" t="n"/>
      <c r="I658" s="19" t="n"/>
      <c r="J658" s="19" t="n"/>
      <c r="K658" s="20" t="n"/>
      <c r="L658" s="22">
        <f>IF(OR(B658="",K658=""),"",K658-B658)</f>
        <v/>
      </c>
      <c r="M658" s="19" t="n"/>
      <c r="N658" s="19" t="n"/>
      <c r="O658" s="20" t="n"/>
      <c r="P658" s="19" t="n"/>
    </row>
    <row r="659">
      <c r="A659" s="19" t="n"/>
      <c r="B659" s="20" t="n"/>
      <c r="C659" s="21">
        <f>IF(B659="","",DATE(YEAR(B659),MONTH(B659),1))</f>
        <v/>
      </c>
      <c r="D659" s="19" t="n"/>
      <c r="E659" s="19" t="n"/>
      <c r="F659" s="19" t="n"/>
      <c r="G659" s="19" t="n"/>
      <c r="H659" s="19" t="n"/>
      <c r="I659" s="19" t="n"/>
      <c r="J659" s="19" t="n"/>
      <c r="K659" s="20" t="n"/>
      <c r="L659" s="22">
        <f>IF(OR(B659="",K659=""),"",K659-B659)</f>
        <v/>
      </c>
      <c r="M659" s="19" t="n"/>
      <c r="N659" s="19" t="n"/>
      <c r="O659" s="20" t="n"/>
      <c r="P659" s="19" t="n"/>
    </row>
    <row r="660">
      <c r="A660" s="19" t="n"/>
      <c r="B660" s="20" t="n"/>
      <c r="C660" s="21">
        <f>IF(B660="","",DATE(YEAR(B660),MONTH(B660),1))</f>
        <v/>
      </c>
      <c r="D660" s="19" t="n"/>
      <c r="E660" s="19" t="n"/>
      <c r="F660" s="19" t="n"/>
      <c r="G660" s="19" t="n"/>
      <c r="H660" s="19" t="n"/>
      <c r="I660" s="19" t="n"/>
      <c r="J660" s="19" t="n"/>
      <c r="K660" s="20" t="n"/>
      <c r="L660" s="22">
        <f>IF(OR(B660="",K660=""),"",K660-B660)</f>
        <v/>
      </c>
      <c r="M660" s="19" t="n"/>
      <c r="N660" s="19" t="n"/>
      <c r="O660" s="20" t="n"/>
      <c r="P660" s="19" t="n"/>
    </row>
    <row r="661">
      <c r="A661" s="19" t="n"/>
      <c r="B661" s="20" t="n"/>
      <c r="C661" s="21">
        <f>IF(B661="","",DATE(YEAR(B661),MONTH(B661),1))</f>
        <v/>
      </c>
      <c r="D661" s="19" t="n"/>
      <c r="E661" s="19" t="n"/>
      <c r="F661" s="19" t="n"/>
      <c r="G661" s="19" t="n"/>
      <c r="H661" s="19" t="n"/>
      <c r="I661" s="19" t="n"/>
      <c r="J661" s="19" t="n"/>
      <c r="K661" s="20" t="n"/>
      <c r="L661" s="22">
        <f>IF(OR(B661="",K661=""),"",K661-B661)</f>
        <v/>
      </c>
      <c r="M661" s="19" t="n"/>
      <c r="N661" s="19" t="n"/>
      <c r="O661" s="20" t="n"/>
      <c r="P661" s="19" t="n"/>
    </row>
    <row r="662">
      <c r="A662" s="19" t="n"/>
      <c r="B662" s="20" t="n"/>
      <c r="C662" s="21">
        <f>IF(B662="","",DATE(YEAR(B662),MONTH(B662),1))</f>
        <v/>
      </c>
      <c r="D662" s="19" t="n"/>
      <c r="E662" s="19" t="n"/>
      <c r="F662" s="19" t="n"/>
      <c r="G662" s="19" t="n"/>
      <c r="H662" s="19" t="n"/>
      <c r="I662" s="19" t="n"/>
      <c r="J662" s="19" t="n"/>
      <c r="K662" s="20" t="n"/>
      <c r="L662" s="22">
        <f>IF(OR(B662="",K662=""),"",K662-B662)</f>
        <v/>
      </c>
      <c r="M662" s="19" t="n"/>
      <c r="N662" s="19" t="n"/>
      <c r="O662" s="20" t="n"/>
      <c r="P662" s="19" t="n"/>
    </row>
    <row r="663">
      <c r="A663" s="19" t="n"/>
      <c r="B663" s="20" t="n"/>
      <c r="C663" s="21">
        <f>IF(B663="","",DATE(YEAR(B663),MONTH(B663),1))</f>
        <v/>
      </c>
      <c r="D663" s="19" t="n"/>
      <c r="E663" s="19" t="n"/>
      <c r="F663" s="19" t="n"/>
      <c r="G663" s="19" t="n"/>
      <c r="H663" s="19" t="n"/>
      <c r="I663" s="19" t="n"/>
      <c r="J663" s="19" t="n"/>
      <c r="K663" s="20" t="n"/>
      <c r="L663" s="22">
        <f>IF(OR(B663="",K663=""),"",K663-B663)</f>
        <v/>
      </c>
      <c r="M663" s="19" t="n"/>
      <c r="N663" s="19" t="n"/>
      <c r="O663" s="20" t="n"/>
      <c r="P663" s="19" t="n"/>
    </row>
    <row r="664">
      <c r="A664" s="19" t="n"/>
      <c r="B664" s="20" t="n"/>
      <c r="C664" s="21">
        <f>IF(B664="","",DATE(YEAR(B664),MONTH(B664),1))</f>
        <v/>
      </c>
      <c r="D664" s="19" t="n"/>
      <c r="E664" s="19" t="n"/>
      <c r="F664" s="19" t="n"/>
      <c r="G664" s="19" t="n"/>
      <c r="H664" s="19" t="n"/>
      <c r="I664" s="19" t="n"/>
      <c r="J664" s="19" t="n"/>
      <c r="K664" s="20" t="n"/>
      <c r="L664" s="22">
        <f>IF(OR(B664="",K664=""),"",K664-B664)</f>
        <v/>
      </c>
      <c r="M664" s="19" t="n"/>
      <c r="N664" s="19" t="n"/>
      <c r="O664" s="20" t="n"/>
      <c r="P664" s="19" t="n"/>
    </row>
    <row r="665">
      <c r="A665" s="19" t="n"/>
      <c r="B665" s="20" t="n"/>
      <c r="C665" s="21">
        <f>IF(B665="","",DATE(YEAR(B665),MONTH(B665),1))</f>
        <v/>
      </c>
      <c r="D665" s="19" t="n"/>
      <c r="E665" s="19" t="n"/>
      <c r="F665" s="19" t="n"/>
      <c r="G665" s="19" t="n"/>
      <c r="H665" s="19" t="n"/>
      <c r="I665" s="19" t="n"/>
      <c r="J665" s="19" t="n"/>
      <c r="K665" s="20" t="n"/>
      <c r="L665" s="22">
        <f>IF(OR(B665="",K665=""),"",K665-B665)</f>
        <v/>
      </c>
      <c r="M665" s="19" t="n"/>
      <c r="N665" s="19" t="n"/>
      <c r="O665" s="20" t="n"/>
      <c r="P665" s="19" t="n"/>
    </row>
    <row r="666">
      <c r="A666" s="19" t="n"/>
      <c r="B666" s="20" t="n"/>
      <c r="C666" s="21">
        <f>IF(B666="","",DATE(YEAR(B666),MONTH(B666),1))</f>
        <v/>
      </c>
      <c r="D666" s="19" t="n"/>
      <c r="E666" s="19" t="n"/>
      <c r="F666" s="19" t="n"/>
      <c r="G666" s="19" t="n"/>
      <c r="H666" s="19" t="n"/>
      <c r="I666" s="19" t="n"/>
      <c r="J666" s="19" t="n"/>
      <c r="K666" s="20" t="n"/>
      <c r="L666" s="22">
        <f>IF(OR(B666="",K666=""),"",K666-B666)</f>
        <v/>
      </c>
      <c r="M666" s="19" t="n"/>
      <c r="N666" s="19" t="n"/>
      <c r="O666" s="20" t="n"/>
      <c r="P666" s="19" t="n"/>
    </row>
    <row r="667">
      <c r="A667" s="19" t="n"/>
      <c r="B667" s="20" t="n"/>
      <c r="C667" s="21">
        <f>IF(B667="","",DATE(YEAR(B667),MONTH(B667),1))</f>
        <v/>
      </c>
      <c r="D667" s="19" t="n"/>
      <c r="E667" s="19" t="n"/>
      <c r="F667" s="19" t="n"/>
      <c r="G667" s="19" t="n"/>
      <c r="H667" s="19" t="n"/>
      <c r="I667" s="19" t="n"/>
      <c r="J667" s="19" t="n"/>
      <c r="K667" s="20" t="n"/>
      <c r="L667" s="22">
        <f>IF(OR(B667="",K667=""),"",K667-B667)</f>
        <v/>
      </c>
      <c r="M667" s="19" t="n"/>
      <c r="N667" s="19" t="n"/>
      <c r="O667" s="20" t="n"/>
      <c r="P667" s="19" t="n"/>
    </row>
    <row r="668">
      <c r="A668" s="19" t="n"/>
      <c r="B668" s="20" t="n"/>
      <c r="C668" s="21">
        <f>IF(B668="","",DATE(YEAR(B668),MONTH(B668),1))</f>
        <v/>
      </c>
      <c r="D668" s="19" t="n"/>
      <c r="E668" s="19" t="n"/>
      <c r="F668" s="19" t="n"/>
      <c r="G668" s="19" t="n"/>
      <c r="H668" s="19" t="n"/>
      <c r="I668" s="19" t="n"/>
      <c r="J668" s="19" t="n"/>
      <c r="K668" s="20" t="n"/>
      <c r="L668" s="22">
        <f>IF(OR(B668="",K668=""),"",K668-B668)</f>
        <v/>
      </c>
      <c r="M668" s="19" t="n"/>
      <c r="N668" s="19" t="n"/>
      <c r="O668" s="20" t="n"/>
      <c r="P668" s="19" t="n"/>
    </row>
    <row r="669">
      <c r="A669" s="19" t="n"/>
      <c r="B669" s="20" t="n"/>
      <c r="C669" s="21">
        <f>IF(B669="","",DATE(YEAR(B669),MONTH(B669),1))</f>
        <v/>
      </c>
      <c r="D669" s="19" t="n"/>
      <c r="E669" s="19" t="n"/>
      <c r="F669" s="19" t="n"/>
      <c r="G669" s="19" t="n"/>
      <c r="H669" s="19" t="n"/>
      <c r="I669" s="19" t="n"/>
      <c r="J669" s="19" t="n"/>
      <c r="K669" s="20" t="n"/>
      <c r="L669" s="22">
        <f>IF(OR(B669="",K669=""),"",K669-B669)</f>
        <v/>
      </c>
      <c r="M669" s="19" t="n"/>
      <c r="N669" s="19" t="n"/>
      <c r="O669" s="20" t="n"/>
      <c r="P669" s="19" t="n"/>
    </row>
    <row r="670">
      <c r="A670" s="19" t="n"/>
      <c r="B670" s="20" t="n"/>
      <c r="C670" s="21">
        <f>IF(B670="","",DATE(YEAR(B670),MONTH(B670),1))</f>
        <v/>
      </c>
      <c r="D670" s="19" t="n"/>
      <c r="E670" s="19" t="n"/>
      <c r="F670" s="19" t="n"/>
      <c r="G670" s="19" t="n"/>
      <c r="H670" s="19" t="n"/>
      <c r="I670" s="19" t="n"/>
      <c r="J670" s="19" t="n"/>
      <c r="K670" s="20" t="n"/>
      <c r="L670" s="22">
        <f>IF(OR(B670="",K670=""),"",K670-B670)</f>
        <v/>
      </c>
      <c r="M670" s="19" t="n"/>
      <c r="N670" s="19" t="n"/>
      <c r="O670" s="20" t="n"/>
      <c r="P670" s="19" t="n"/>
    </row>
    <row r="671">
      <c r="A671" s="19" t="n"/>
      <c r="B671" s="20" t="n"/>
      <c r="C671" s="21">
        <f>IF(B671="","",DATE(YEAR(B671),MONTH(B671),1))</f>
        <v/>
      </c>
      <c r="D671" s="19" t="n"/>
      <c r="E671" s="19" t="n"/>
      <c r="F671" s="19" t="n"/>
      <c r="G671" s="19" t="n"/>
      <c r="H671" s="19" t="n"/>
      <c r="I671" s="19" t="n"/>
      <c r="J671" s="19" t="n"/>
      <c r="K671" s="20" t="n"/>
      <c r="L671" s="22">
        <f>IF(OR(B671="",K671=""),"",K671-B671)</f>
        <v/>
      </c>
      <c r="M671" s="19" t="n"/>
      <c r="N671" s="19" t="n"/>
      <c r="O671" s="20" t="n"/>
      <c r="P671" s="19" t="n"/>
    </row>
    <row r="672">
      <c r="A672" s="19" t="n"/>
      <c r="B672" s="20" t="n"/>
      <c r="C672" s="21">
        <f>IF(B672="","",DATE(YEAR(B672),MONTH(B672),1))</f>
        <v/>
      </c>
      <c r="D672" s="19" t="n"/>
      <c r="E672" s="19" t="n"/>
      <c r="F672" s="19" t="n"/>
      <c r="G672" s="19" t="n"/>
      <c r="H672" s="19" t="n"/>
      <c r="I672" s="19" t="n"/>
      <c r="J672" s="19" t="n"/>
      <c r="K672" s="20" t="n"/>
      <c r="L672" s="22">
        <f>IF(OR(B672="",K672=""),"",K672-B672)</f>
        <v/>
      </c>
      <c r="M672" s="19" t="n"/>
      <c r="N672" s="19" t="n"/>
      <c r="O672" s="20" t="n"/>
      <c r="P672" s="19" t="n"/>
    </row>
    <row r="673">
      <c r="A673" s="19" t="n"/>
      <c r="B673" s="20" t="n"/>
      <c r="C673" s="21">
        <f>IF(B673="","",DATE(YEAR(B673),MONTH(B673),1))</f>
        <v/>
      </c>
      <c r="D673" s="19" t="n"/>
      <c r="E673" s="19" t="n"/>
      <c r="F673" s="19" t="n"/>
      <c r="G673" s="19" t="n"/>
      <c r="H673" s="19" t="n"/>
      <c r="I673" s="19" t="n"/>
      <c r="J673" s="19" t="n"/>
      <c r="K673" s="20" t="n"/>
      <c r="L673" s="22">
        <f>IF(OR(B673="",K673=""),"",K673-B673)</f>
        <v/>
      </c>
      <c r="M673" s="19" t="n"/>
      <c r="N673" s="19" t="n"/>
      <c r="O673" s="20" t="n"/>
      <c r="P673" s="19" t="n"/>
    </row>
    <row r="674">
      <c r="A674" s="19" t="n"/>
      <c r="B674" s="20" t="n"/>
      <c r="C674" s="21">
        <f>IF(B674="","",DATE(YEAR(B674),MONTH(B674),1))</f>
        <v/>
      </c>
      <c r="D674" s="19" t="n"/>
      <c r="E674" s="19" t="n"/>
      <c r="F674" s="19" t="n"/>
      <c r="G674" s="19" t="n"/>
      <c r="H674" s="19" t="n"/>
      <c r="I674" s="19" t="n"/>
      <c r="J674" s="19" t="n"/>
      <c r="K674" s="20" t="n"/>
      <c r="L674" s="22">
        <f>IF(OR(B674="",K674=""),"",K674-B674)</f>
        <v/>
      </c>
      <c r="M674" s="19" t="n"/>
      <c r="N674" s="19" t="n"/>
      <c r="O674" s="20" t="n"/>
      <c r="P674" s="19" t="n"/>
    </row>
    <row r="675">
      <c r="A675" s="19" t="n"/>
      <c r="B675" s="20" t="n"/>
      <c r="C675" s="21">
        <f>IF(B675="","",DATE(YEAR(B675),MONTH(B675),1))</f>
        <v/>
      </c>
      <c r="D675" s="19" t="n"/>
      <c r="E675" s="19" t="n"/>
      <c r="F675" s="19" t="n"/>
      <c r="G675" s="19" t="n"/>
      <c r="H675" s="19" t="n"/>
      <c r="I675" s="19" t="n"/>
      <c r="J675" s="19" t="n"/>
      <c r="K675" s="20" t="n"/>
      <c r="L675" s="22">
        <f>IF(OR(B675="",K675=""),"",K675-B675)</f>
        <v/>
      </c>
      <c r="M675" s="19" t="n"/>
      <c r="N675" s="19" t="n"/>
      <c r="O675" s="20" t="n"/>
      <c r="P675" s="19" t="n"/>
    </row>
    <row r="676">
      <c r="A676" s="19" t="n"/>
      <c r="B676" s="20" t="n"/>
      <c r="C676" s="21">
        <f>IF(B676="","",DATE(YEAR(B676),MONTH(B676),1))</f>
        <v/>
      </c>
      <c r="D676" s="19" t="n"/>
      <c r="E676" s="19" t="n"/>
      <c r="F676" s="19" t="n"/>
      <c r="G676" s="19" t="n"/>
      <c r="H676" s="19" t="n"/>
      <c r="I676" s="19" t="n"/>
      <c r="J676" s="19" t="n"/>
      <c r="K676" s="20" t="n"/>
      <c r="L676" s="22">
        <f>IF(OR(B676="",K676=""),"",K676-B676)</f>
        <v/>
      </c>
      <c r="M676" s="19" t="n"/>
      <c r="N676" s="19" t="n"/>
      <c r="O676" s="20" t="n"/>
      <c r="P676" s="19" t="n"/>
    </row>
    <row r="677">
      <c r="A677" s="19" t="n"/>
      <c r="B677" s="20" t="n"/>
      <c r="C677" s="21">
        <f>IF(B677="","",DATE(YEAR(B677),MONTH(B677),1))</f>
        <v/>
      </c>
      <c r="D677" s="19" t="n"/>
      <c r="E677" s="19" t="n"/>
      <c r="F677" s="19" t="n"/>
      <c r="G677" s="19" t="n"/>
      <c r="H677" s="19" t="n"/>
      <c r="I677" s="19" t="n"/>
      <c r="J677" s="19" t="n"/>
      <c r="K677" s="20" t="n"/>
      <c r="L677" s="22">
        <f>IF(OR(B677="",K677=""),"",K677-B677)</f>
        <v/>
      </c>
      <c r="M677" s="19" t="n"/>
      <c r="N677" s="19" t="n"/>
      <c r="O677" s="20" t="n"/>
      <c r="P677" s="19" t="n"/>
    </row>
    <row r="678">
      <c r="A678" s="19" t="n"/>
      <c r="B678" s="20" t="n"/>
      <c r="C678" s="21">
        <f>IF(B678="","",DATE(YEAR(B678),MONTH(B678),1))</f>
        <v/>
      </c>
      <c r="D678" s="19" t="n"/>
      <c r="E678" s="19" t="n"/>
      <c r="F678" s="19" t="n"/>
      <c r="G678" s="19" t="n"/>
      <c r="H678" s="19" t="n"/>
      <c r="I678" s="19" t="n"/>
      <c r="J678" s="19" t="n"/>
      <c r="K678" s="20" t="n"/>
      <c r="L678" s="22">
        <f>IF(OR(B678="",K678=""),"",K678-B678)</f>
        <v/>
      </c>
      <c r="M678" s="19" t="n"/>
      <c r="N678" s="19" t="n"/>
      <c r="O678" s="20" t="n"/>
      <c r="P678" s="19" t="n"/>
    </row>
    <row r="679">
      <c r="A679" s="19" t="n"/>
      <c r="B679" s="20" t="n"/>
      <c r="C679" s="21">
        <f>IF(B679="","",DATE(YEAR(B679),MONTH(B679),1))</f>
        <v/>
      </c>
      <c r="D679" s="19" t="n"/>
      <c r="E679" s="19" t="n"/>
      <c r="F679" s="19" t="n"/>
      <c r="G679" s="19" t="n"/>
      <c r="H679" s="19" t="n"/>
      <c r="I679" s="19" t="n"/>
      <c r="J679" s="19" t="n"/>
      <c r="K679" s="20" t="n"/>
      <c r="L679" s="22">
        <f>IF(OR(B679="",K679=""),"",K679-B679)</f>
        <v/>
      </c>
      <c r="M679" s="19" t="n"/>
      <c r="N679" s="19" t="n"/>
      <c r="O679" s="20" t="n"/>
      <c r="P679" s="19" t="n"/>
    </row>
    <row r="680">
      <c r="A680" s="19" t="n"/>
      <c r="B680" s="20" t="n"/>
      <c r="C680" s="21">
        <f>IF(B680="","",DATE(YEAR(B680),MONTH(B680),1))</f>
        <v/>
      </c>
      <c r="D680" s="19" t="n"/>
      <c r="E680" s="19" t="n"/>
      <c r="F680" s="19" t="n"/>
      <c r="G680" s="19" t="n"/>
      <c r="H680" s="19" t="n"/>
      <c r="I680" s="19" t="n"/>
      <c r="J680" s="19" t="n"/>
      <c r="K680" s="20" t="n"/>
      <c r="L680" s="22">
        <f>IF(OR(B680="",K680=""),"",K680-B680)</f>
        <v/>
      </c>
      <c r="M680" s="19" t="n"/>
      <c r="N680" s="19" t="n"/>
      <c r="O680" s="20" t="n"/>
      <c r="P680" s="19" t="n"/>
    </row>
    <row r="681">
      <c r="A681" s="19" t="n"/>
      <c r="B681" s="20" t="n"/>
      <c r="C681" s="21">
        <f>IF(B681="","",DATE(YEAR(B681),MONTH(B681),1))</f>
        <v/>
      </c>
      <c r="D681" s="19" t="n"/>
      <c r="E681" s="19" t="n"/>
      <c r="F681" s="19" t="n"/>
      <c r="G681" s="19" t="n"/>
      <c r="H681" s="19" t="n"/>
      <c r="I681" s="19" t="n"/>
      <c r="J681" s="19" t="n"/>
      <c r="K681" s="20" t="n"/>
      <c r="L681" s="22">
        <f>IF(OR(B681="",K681=""),"",K681-B681)</f>
        <v/>
      </c>
      <c r="M681" s="19" t="n"/>
      <c r="N681" s="19" t="n"/>
      <c r="O681" s="20" t="n"/>
      <c r="P681" s="19" t="n"/>
    </row>
    <row r="682">
      <c r="A682" s="19" t="n"/>
      <c r="B682" s="20" t="n"/>
      <c r="C682" s="21">
        <f>IF(B682="","",DATE(YEAR(B682),MONTH(B682),1))</f>
        <v/>
      </c>
      <c r="D682" s="19" t="n"/>
      <c r="E682" s="19" t="n"/>
      <c r="F682" s="19" t="n"/>
      <c r="G682" s="19" t="n"/>
      <c r="H682" s="19" t="n"/>
      <c r="I682" s="19" t="n"/>
      <c r="J682" s="19" t="n"/>
      <c r="K682" s="20" t="n"/>
      <c r="L682" s="22">
        <f>IF(OR(B682="",K682=""),"",K682-B682)</f>
        <v/>
      </c>
      <c r="M682" s="19" t="n"/>
      <c r="N682" s="19" t="n"/>
      <c r="O682" s="20" t="n"/>
      <c r="P682" s="19" t="n"/>
    </row>
    <row r="683">
      <c r="A683" s="19" t="n"/>
      <c r="B683" s="20" t="n"/>
      <c r="C683" s="21">
        <f>IF(B683="","",DATE(YEAR(B683),MONTH(B683),1))</f>
        <v/>
      </c>
      <c r="D683" s="19" t="n"/>
      <c r="E683" s="19" t="n"/>
      <c r="F683" s="19" t="n"/>
      <c r="G683" s="19" t="n"/>
      <c r="H683" s="19" t="n"/>
      <c r="I683" s="19" t="n"/>
      <c r="J683" s="19" t="n"/>
      <c r="K683" s="20" t="n"/>
      <c r="L683" s="22">
        <f>IF(OR(B683="",K683=""),"",K683-B683)</f>
        <v/>
      </c>
      <c r="M683" s="19" t="n"/>
      <c r="N683" s="19" t="n"/>
      <c r="O683" s="20" t="n"/>
      <c r="P683" s="19" t="n"/>
    </row>
    <row r="684">
      <c r="A684" s="19" t="n"/>
      <c r="B684" s="20" t="n"/>
      <c r="C684" s="21">
        <f>IF(B684="","",DATE(YEAR(B684),MONTH(B684),1))</f>
        <v/>
      </c>
      <c r="D684" s="19" t="n"/>
      <c r="E684" s="19" t="n"/>
      <c r="F684" s="19" t="n"/>
      <c r="G684" s="19" t="n"/>
      <c r="H684" s="19" t="n"/>
      <c r="I684" s="19" t="n"/>
      <c r="J684" s="19" t="n"/>
      <c r="K684" s="20" t="n"/>
      <c r="L684" s="22">
        <f>IF(OR(B684="",K684=""),"",K684-B684)</f>
        <v/>
      </c>
      <c r="M684" s="19" t="n"/>
      <c r="N684" s="19" t="n"/>
      <c r="O684" s="20" t="n"/>
      <c r="P684" s="19" t="n"/>
    </row>
    <row r="685">
      <c r="A685" s="19" t="n"/>
      <c r="B685" s="20" t="n"/>
      <c r="C685" s="21">
        <f>IF(B685="","",DATE(YEAR(B685),MONTH(B685),1))</f>
        <v/>
      </c>
      <c r="D685" s="19" t="n"/>
      <c r="E685" s="19" t="n"/>
      <c r="F685" s="19" t="n"/>
      <c r="G685" s="19" t="n"/>
      <c r="H685" s="19" t="n"/>
      <c r="I685" s="19" t="n"/>
      <c r="J685" s="19" t="n"/>
      <c r="K685" s="20" t="n"/>
      <c r="L685" s="22">
        <f>IF(OR(B685="",K685=""),"",K685-B685)</f>
        <v/>
      </c>
      <c r="M685" s="19" t="n"/>
      <c r="N685" s="19" t="n"/>
      <c r="O685" s="20" t="n"/>
      <c r="P685" s="19" t="n"/>
    </row>
    <row r="686">
      <c r="A686" s="19" t="n"/>
      <c r="B686" s="20" t="n"/>
      <c r="C686" s="21">
        <f>IF(B686="","",DATE(YEAR(B686),MONTH(B686),1))</f>
        <v/>
      </c>
      <c r="D686" s="19" t="n"/>
      <c r="E686" s="19" t="n"/>
      <c r="F686" s="19" t="n"/>
      <c r="G686" s="19" t="n"/>
      <c r="H686" s="19" t="n"/>
      <c r="I686" s="19" t="n"/>
      <c r="J686" s="19" t="n"/>
      <c r="K686" s="20" t="n"/>
      <c r="L686" s="22">
        <f>IF(OR(B686="",K686=""),"",K686-B686)</f>
        <v/>
      </c>
      <c r="M686" s="19" t="n"/>
      <c r="N686" s="19" t="n"/>
      <c r="O686" s="20" t="n"/>
      <c r="P686" s="19" t="n"/>
    </row>
    <row r="687">
      <c r="A687" s="19" t="n"/>
      <c r="B687" s="20" t="n"/>
      <c r="C687" s="21">
        <f>IF(B687="","",DATE(YEAR(B687),MONTH(B687),1))</f>
        <v/>
      </c>
      <c r="D687" s="19" t="n"/>
      <c r="E687" s="19" t="n"/>
      <c r="F687" s="19" t="n"/>
      <c r="G687" s="19" t="n"/>
      <c r="H687" s="19" t="n"/>
      <c r="I687" s="19" t="n"/>
      <c r="J687" s="19" t="n"/>
      <c r="K687" s="20" t="n"/>
      <c r="L687" s="22">
        <f>IF(OR(B687="",K687=""),"",K687-B687)</f>
        <v/>
      </c>
      <c r="M687" s="19" t="n"/>
      <c r="N687" s="19" t="n"/>
      <c r="O687" s="20" t="n"/>
      <c r="P687" s="19" t="n"/>
    </row>
    <row r="688">
      <c r="A688" s="19" t="n"/>
      <c r="B688" s="20" t="n"/>
      <c r="C688" s="21">
        <f>IF(B688="","",DATE(YEAR(B688),MONTH(B688),1))</f>
        <v/>
      </c>
      <c r="D688" s="19" t="n"/>
      <c r="E688" s="19" t="n"/>
      <c r="F688" s="19" t="n"/>
      <c r="G688" s="19" t="n"/>
      <c r="H688" s="19" t="n"/>
      <c r="I688" s="19" t="n"/>
      <c r="J688" s="19" t="n"/>
      <c r="K688" s="20" t="n"/>
      <c r="L688" s="22">
        <f>IF(OR(B688="",K688=""),"",K688-B688)</f>
        <v/>
      </c>
      <c r="M688" s="19" t="n"/>
      <c r="N688" s="19" t="n"/>
      <c r="O688" s="20" t="n"/>
      <c r="P688" s="19" t="n"/>
    </row>
    <row r="689">
      <c r="A689" s="19" t="n"/>
      <c r="B689" s="20" t="n"/>
      <c r="C689" s="21">
        <f>IF(B689="","",DATE(YEAR(B689),MONTH(B689),1))</f>
        <v/>
      </c>
      <c r="D689" s="19" t="n"/>
      <c r="E689" s="19" t="n"/>
      <c r="F689" s="19" t="n"/>
      <c r="G689" s="19" t="n"/>
      <c r="H689" s="19" t="n"/>
      <c r="I689" s="19" t="n"/>
      <c r="J689" s="19" t="n"/>
      <c r="K689" s="20" t="n"/>
      <c r="L689" s="22">
        <f>IF(OR(B689="",K689=""),"",K689-B689)</f>
        <v/>
      </c>
      <c r="M689" s="19" t="n"/>
      <c r="N689" s="19" t="n"/>
      <c r="O689" s="20" t="n"/>
      <c r="P689" s="19" t="n"/>
    </row>
    <row r="690">
      <c r="A690" s="19" t="n"/>
      <c r="B690" s="20" t="n"/>
      <c r="C690" s="21">
        <f>IF(B690="","",DATE(YEAR(B690),MONTH(B690),1))</f>
        <v/>
      </c>
      <c r="D690" s="19" t="n"/>
      <c r="E690" s="19" t="n"/>
      <c r="F690" s="19" t="n"/>
      <c r="G690" s="19" t="n"/>
      <c r="H690" s="19" t="n"/>
      <c r="I690" s="19" t="n"/>
      <c r="J690" s="19" t="n"/>
      <c r="K690" s="20" t="n"/>
      <c r="L690" s="22">
        <f>IF(OR(B690="",K690=""),"",K690-B690)</f>
        <v/>
      </c>
      <c r="M690" s="19" t="n"/>
      <c r="N690" s="19" t="n"/>
      <c r="O690" s="20" t="n"/>
      <c r="P690" s="19" t="n"/>
    </row>
    <row r="691">
      <c r="A691" s="19" t="n"/>
      <c r="B691" s="20" t="n"/>
      <c r="C691" s="21">
        <f>IF(B691="","",DATE(YEAR(B691),MONTH(B691),1))</f>
        <v/>
      </c>
      <c r="D691" s="19" t="n"/>
      <c r="E691" s="19" t="n"/>
      <c r="F691" s="19" t="n"/>
      <c r="G691" s="19" t="n"/>
      <c r="H691" s="19" t="n"/>
      <c r="I691" s="19" t="n"/>
      <c r="J691" s="19" t="n"/>
      <c r="K691" s="20" t="n"/>
      <c r="L691" s="22">
        <f>IF(OR(B691="",K691=""),"",K691-B691)</f>
        <v/>
      </c>
      <c r="M691" s="19" t="n"/>
      <c r="N691" s="19" t="n"/>
      <c r="O691" s="20" t="n"/>
      <c r="P691" s="19" t="n"/>
    </row>
    <row r="692">
      <c r="A692" s="19" t="n"/>
      <c r="B692" s="20" t="n"/>
      <c r="C692" s="21">
        <f>IF(B692="","",DATE(YEAR(B692),MONTH(B692),1))</f>
        <v/>
      </c>
      <c r="D692" s="19" t="n"/>
      <c r="E692" s="19" t="n"/>
      <c r="F692" s="19" t="n"/>
      <c r="G692" s="19" t="n"/>
      <c r="H692" s="19" t="n"/>
      <c r="I692" s="19" t="n"/>
      <c r="J692" s="19" t="n"/>
      <c r="K692" s="20" t="n"/>
      <c r="L692" s="22">
        <f>IF(OR(B692="",K692=""),"",K692-B692)</f>
        <v/>
      </c>
      <c r="M692" s="19" t="n"/>
      <c r="N692" s="19" t="n"/>
      <c r="O692" s="20" t="n"/>
      <c r="P692" s="19" t="n"/>
    </row>
    <row r="693">
      <c r="A693" s="19" t="n"/>
      <c r="B693" s="20" t="n"/>
      <c r="C693" s="21">
        <f>IF(B693="","",DATE(YEAR(B693),MONTH(B693),1))</f>
        <v/>
      </c>
      <c r="D693" s="19" t="n"/>
      <c r="E693" s="19" t="n"/>
      <c r="F693" s="19" t="n"/>
      <c r="G693" s="19" t="n"/>
      <c r="H693" s="19" t="n"/>
      <c r="I693" s="19" t="n"/>
      <c r="J693" s="19" t="n"/>
      <c r="K693" s="20" t="n"/>
      <c r="L693" s="22">
        <f>IF(OR(B693="",K693=""),"",K693-B693)</f>
        <v/>
      </c>
      <c r="M693" s="19" t="n"/>
      <c r="N693" s="19" t="n"/>
      <c r="O693" s="20" t="n"/>
      <c r="P693" s="19" t="n"/>
    </row>
    <row r="694">
      <c r="A694" s="19" t="n"/>
      <c r="B694" s="20" t="n"/>
      <c r="C694" s="21">
        <f>IF(B694="","",DATE(YEAR(B694),MONTH(B694),1))</f>
        <v/>
      </c>
      <c r="D694" s="19" t="n"/>
      <c r="E694" s="19" t="n"/>
      <c r="F694" s="19" t="n"/>
      <c r="G694" s="19" t="n"/>
      <c r="H694" s="19" t="n"/>
      <c r="I694" s="19" t="n"/>
      <c r="J694" s="19" t="n"/>
      <c r="K694" s="20" t="n"/>
      <c r="L694" s="22">
        <f>IF(OR(B694="",K694=""),"",K694-B694)</f>
        <v/>
      </c>
      <c r="M694" s="19" t="n"/>
      <c r="N694" s="19" t="n"/>
      <c r="O694" s="20" t="n"/>
      <c r="P694" s="19" t="n"/>
    </row>
    <row r="695">
      <c r="A695" s="19" t="n"/>
      <c r="B695" s="20" t="n"/>
      <c r="C695" s="21">
        <f>IF(B695="","",DATE(YEAR(B695),MONTH(B695),1))</f>
        <v/>
      </c>
      <c r="D695" s="19" t="n"/>
      <c r="E695" s="19" t="n"/>
      <c r="F695" s="19" t="n"/>
      <c r="G695" s="19" t="n"/>
      <c r="H695" s="19" t="n"/>
      <c r="I695" s="19" t="n"/>
      <c r="J695" s="19" t="n"/>
      <c r="K695" s="20" t="n"/>
      <c r="L695" s="22">
        <f>IF(OR(B695="",K695=""),"",K695-B695)</f>
        <v/>
      </c>
      <c r="M695" s="19" t="n"/>
      <c r="N695" s="19" t="n"/>
      <c r="O695" s="20" t="n"/>
      <c r="P695" s="19" t="n"/>
    </row>
    <row r="696">
      <c r="A696" s="19" t="n"/>
      <c r="B696" s="20" t="n"/>
      <c r="C696" s="21">
        <f>IF(B696="","",DATE(YEAR(B696),MONTH(B696),1))</f>
        <v/>
      </c>
      <c r="D696" s="19" t="n"/>
      <c r="E696" s="19" t="n"/>
      <c r="F696" s="19" t="n"/>
      <c r="G696" s="19" t="n"/>
      <c r="H696" s="19" t="n"/>
      <c r="I696" s="19" t="n"/>
      <c r="J696" s="19" t="n"/>
      <c r="K696" s="20" t="n"/>
      <c r="L696" s="22">
        <f>IF(OR(B696="",K696=""),"",K696-B696)</f>
        <v/>
      </c>
      <c r="M696" s="19" t="n"/>
      <c r="N696" s="19" t="n"/>
      <c r="O696" s="20" t="n"/>
      <c r="P696" s="19" t="n"/>
    </row>
    <row r="697">
      <c r="A697" s="19" t="n"/>
      <c r="B697" s="20" t="n"/>
      <c r="C697" s="21">
        <f>IF(B697="","",DATE(YEAR(B697),MONTH(B697),1))</f>
        <v/>
      </c>
      <c r="D697" s="19" t="n"/>
      <c r="E697" s="19" t="n"/>
      <c r="F697" s="19" t="n"/>
      <c r="G697" s="19" t="n"/>
      <c r="H697" s="19" t="n"/>
      <c r="I697" s="19" t="n"/>
      <c r="J697" s="19" t="n"/>
      <c r="K697" s="20" t="n"/>
      <c r="L697" s="22">
        <f>IF(OR(B697="",K697=""),"",K697-B697)</f>
        <v/>
      </c>
      <c r="M697" s="19" t="n"/>
      <c r="N697" s="19" t="n"/>
      <c r="O697" s="20" t="n"/>
      <c r="P697" s="19" t="n"/>
    </row>
    <row r="698">
      <c r="A698" s="19" t="n"/>
      <c r="B698" s="20" t="n"/>
      <c r="C698" s="21">
        <f>IF(B698="","",DATE(YEAR(B698),MONTH(B698),1))</f>
        <v/>
      </c>
      <c r="D698" s="19" t="n"/>
      <c r="E698" s="19" t="n"/>
      <c r="F698" s="19" t="n"/>
      <c r="G698" s="19" t="n"/>
      <c r="H698" s="19" t="n"/>
      <c r="I698" s="19" t="n"/>
      <c r="J698" s="19" t="n"/>
      <c r="K698" s="20" t="n"/>
      <c r="L698" s="22">
        <f>IF(OR(B698="",K698=""),"",K698-B698)</f>
        <v/>
      </c>
      <c r="M698" s="19" t="n"/>
      <c r="N698" s="19" t="n"/>
      <c r="O698" s="20" t="n"/>
      <c r="P698" s="19" t="n"/>
    </row>
    <row r="699">
      <c r="A699" s="19" t="n"/>
      <c r="B699" s="20" t="n"/>
      <c r="C699" s="21">
        <f>IF(B699="","",DATE(YEAR(B699),MONTH(B699),1))</f>
        <v/>
      </c>
      <c r="D699" s="19" t="n"/>
      <c r="E699" s="19" t="n"/>
      <c r="F699" s="19" t="n"/>
      <c r="G699" s="19" t="n"/>
      <c r="H699" s="19" t="n"/>
      <c r="I699" s="19" t="n"/>
      <c r="J699" s="19" t="n"/>
      <c r="K699" s="20" t="n"/>
      <c r="L699" s="22">
        <f>IF(OR(B699="",K699=""),"",K699-B699)</f>
        <v/>
      </c>
      <c r="M699" s="19" t="n"/>
      <c r="N699" s="19" t="n"/>
      <c r="O699" s="20" t="n"/>
      <c r="P699" s="19" t="n"/>
    </row>
    <row r="700">
      <c r="A700" s="19" t="n"/>
      <c r="B700" s="20" t="n"/>
      <c r="C700" s="21">
        <f>IF(B700="","",DATE(YEAR(B700),MONTH(B700),1))</f>
        <v/>
      </c>
      <c r="D700" s="19" t="n"/>
      <c r="E700" s="19" t="n"/>
      <c r="F700" s="19" t="n"/>
      <c r="G700" s="19" t="n"/>
      <c r="H700" s="19" t="n"/>
      <c r="I700" s="19" t="n"/>
      <c r="J700" s="19" t="n"/>
      <c r="K700" s="20" t="n"/>
      <c r="L700" s="22">
        <f>IF(OR(B700="",K700=""),"",K700-B700)</f>
        <v/>
      </c>
      <c r="M700" s="19" t="n"/>
      <c r="N700" s="19" t="n"/>
      <c r="O700" s="20" t="n"/>
      <c r="P700" s="19" t="n"/>
    </row>
    <row r="701">
      <c r="A701" s="19" t="n"/>
      <c r="B701" s="20" t="n"/>
      <c r="C701" s="21">
        <f>IF(B701="","",DATE(YEAR(B701),MONTH(B701),1))</f>
        <v/>
      </c>
      <c r="D701" s="19" t="n"/>
      <c r="E701" s="19" t="n"/>
      <c r="F701" s="19" t="n"/>
      <c r="G701" s="19" t="n"/>
      <c r="H701" s="19" t="n"/>
      <c r="I701" s="19" t="n"/>
      <c r="J701" s="19" t="n"/>
      <c r="K701" s="20" t="n"/>
      <c r="L701" s="22">
        <f>IF(OR(B701="",K701=""),"",K701-B701)</f>
        <v/>
      </c>
      <c r="M701" s="19" t="n"/>
      <c r="N701" s="19" t="n"/>
      <c r="O701" s="20" t="n"/>
      <c r="P701" s="19" t="n"/>
    </row>
    <row r="702">
      <c r="A702" s="19" t="n"/>
      <c r="B702" s="20" t="n"/>
      <c r="C702" s="21">
        <f>IF(B702="","",DATE(YEAR(B702),MONTH(B702),1))</f>
        <v/>
      </c>
      <c r="D702" s="19" t="n"/>
      <c r="E702" s="19" t="n"/>
      <c r="F702" s="19" t="n"/>
      <c r="G702" s="19" t="n"/>
      <c r="H702" s="19" t="n"/>
      <c r="I702" s="19" t="n"/>
      <c r="J702" s="19" t="n"/>
      <c r="K702" s="20" t="n"/>
      <c r="L702" s="22">
        <f>IF(OR(B702="",K702=""),"",K702-B702)</f>
        <v/>
      </c>
      <c r="M702" s="19" t="n"/>
      <c r="N702" s="19" t="n"/>
      <c r="O702" s="20" t="n"/>
      <c r="P702" s="19" t="n"/>
    </row>
    <row r="703">
      <c r="A703" s="19" t="n"/>
      <c r="B703" s="20" t="n"/>
      <c r="C703" s="21">
        <f>IF(B703="","",DATE(YEAR(B703),MONTH(B703),1))</f>
        <v/>
      </c>
      <c r="D703" s="19" t="n"/>
      <c r="E703" s="19" t="n"/>
      <c r="F703" s="19" t="n"/>
      <c r="G703" s="19" t="n"/>
      <c r="H703" s="19" t="n"/>
      <c r="I703" s="19" t="n"/>
      <c r="J703" s="19" t="n"/>
      <c r="K703" s="20" t="n"/>
      <c r="L703" s="22">
        <f>IF(OR(B703="",K703=""),"",K703-B703)</f>
        <v/>
      </c>
      <c r="M703" s="19" t="n"/>
      <c r="N703" s="19" t="n"/>
      <c r="O703" s="20" t="n"/>
      <c r="P703" s="19" t="n"/>
    </row>
    <row r="704">
      <c r="A704" s="19" t="n"/>
      <c r="B704" s="20" t="n"/>
      <c r="C704" s="21">
        <f>IF(B704="","",DATE(YEAR(B704),MONTH(B704),1))</f>
        <v/>
      </c>
      <c r="D704" s="19" t="n"/>
      <c r="E704" s="19" t="n"/>
      <c r="F704" s="19" t="n"/>
      <c r="G704" s="19" t="n"/>
      <c r="H704" s="19" t="n"/>
      <c r="I704" s="19" t="n"/>
      <c r="J704" s="19" t="n"/>
      <c r="K704" s="20" t="n"/>
      <c r="L704" s="22">
        <f>IF(OR(B704="",K704=""),"",K704-B704)</f>
        <v/>
      </c>
      <c r="M704" s="19" t="n"/>
      <c r="N704" s="19" t="n"/>
      <c r="O704" s="20" t="n"/>
      <c r="P704" s="19" t="n"/>
    </row>
    <row r="705">
      <c r="A705" s="19" t="n"/>
      <c r="B705" s="20" t="n"/>
      <c r="C705" s="21">
        <f>IF(B705="","",DATE(YEAR(B705),MONTH(B705),1))</f>
        <v/>
      </c>
      <c r="D705" s="19" t="n"/>
      <c r="E705" s="19" t="n"/>
      <c r="F705" s="19" t="n"/>
      <c r="G705" s="19" t="n"/>
      <c r="H705" s="19" t="n"/>
      <c r="I705" s="19" t="n"/>
      <c r="J705" s="19" t="n"/>
      <c r="K705" s="20" t="n"/>
      <c r="L705" s="22">
        <f>IF(OR(B705="",K705=""),"",K705-B705)</f>
        <v/>
      </c>
      <c r="M705" s="19" t="n"/>
      <c r="N705" s="19" t="n"/>
      <c r="O705" s="20" t="n"/>
      <c r="P705" s="19" t="n"/>
    </row>
    <row r="706">
      <c r="A706" s="19" t="n"/>
      <c r="B706" s="20" t="n"/>
      <c r="C706" s="21">
        <f>IF(B706="","",DATE(YEAR(B706),MONTH(B706),1))</f>
        <v/>
      </c>
      <c r="D706" s="19" t="n"/>
      <c r="E706" s="19" t="n"/>
      <c r="F706" s="19" t="n"/>
      <c r="G706" s="19" t="n"/>
      <c r="H706" s="19" t="n"/>
      <c r="I706" s="19" t="n"/>
      <c r="J706" s="19" t="n"/>
      <c r="K706" s="20" t="n"/>
      <c r="L706" s="22">
        <f>IF(OR(B706="",K706=""),"",K706-B706)</f>
        <v/>
      </c>
      <c r="M706" s="19" t="n"/>
      <c r="N706" s="19" t="n"/>
      <c r="O706" s="20" t="n"/>
      <c r="P706" s="19" t="n"/>
    </row>
    <row r="707">
      <c r="A707" s="19" t="n"/>
      <c r="B707" s="20" t="n"/>
      <c r="C707" s="21">
        <f>IF(B707="","",DATE(YEAR(B707),MONTH(B707),1))</f>
        <v/>
      </c>
      <c r="D707" s="19" t="n"/>
      <c r="E707" s="19" t="n"/>
      <c r="F707" s="19" t="n"/>
      <c r="G707" s="19" t="n"/>
      <c r="H707" s="19" t="n"/>
      <c r="I707" s="19" t="n"/>
      <c r="J707" s="19" t="n"/>
      <c r="K707" s="20" t="n"/>
      <c r="L707" s="22">
        <f>IF(OR(B707="",K707=""),"",K707-B707)</f>
        <v/>
      </c>
      <c r="M707" s="19" t="n"/>
      <c r="N707" s="19" t="n"/>
      <c r="O707" s="20" t="n"/>
      <c r="P707" s="19" t="n"/>
    </row>
    <row r="708">
      <c r="A708" s="19" t="n"/>
      <c r="B708" s="20" t="n"/>
      <c r="C708" s="21">
        <f>IF(B708="","",DATE(YEAR(B708),MONTH(B708),1))</f>
        <v/>
      </c>
      <c r="D708" s="19" t="n"/>
      <c r="E708" s="19" t="n"/>
      <c r="F708" s="19" t="n"/>
      <c r="G708" s="19" t="n"/>
      <c r="H708" s="19" t="n"/>
      <c r="I708" s="19" t="n"/>
      <c r="J708" s="19" t="n"/>
      <c r="K708" s="20" t="n"/>
      <c r="L708" s="22">
        <f>IF(OR(B708="",K708=""),"",K708-B708)</f>
        <v/>
      </c>
      <c r="M708" s="19" t="n"/>
      <c r="N708" s="19" t="n"/>
      <c r="O708" s="20" t="n"/>
      <c r="P708" s="19" t="n"/>
    </row>
    <row r="709">
      <c r="A709" s="19" t="n"/>
      <c r="B709" s="20" t="n"/>
      <c r="C709" s="21">
        <f>IF(B709="","",DATE(YEAR(B709),MONTH(B709),1))</f>
        <v/>
      </c>
      <c r="D709" s="19" t="n"/>
      <c r="E709" s="19" t="n"/>
      <c r="F709" s="19" t="n"/>
      <c r="G709" s="19" t="n"/>
      <c r="H709" s="19" t="n"/>
      <c r="I709" s="19" t="n"/>
      <c r="J709" s="19" t="n"/>
      <c r="K709" s="20" t="n"/>
      <c r="L709" s="22">
        <f>IF(OR(B709="",K709=""),"",K709-B709)</f>
        <v/>
      </c>
      <c r="M709" s="19" t="n"/>
      <c r="N709" s="19" t="n"/>
      <c r="O709" s="20" t="n"/>
      <c r="P709" s="19" t="n"/>
    </row>
    <row r="710">
      <c r="A710" s="19" t="n"/>
      <c r="B710" s="20" t="n"/>
      <c r="C710" s="21">
        <f>IF(B710="","",DATE(YEAR(B710),MONTH(B710),1))</f>
        <v/>
      </c>
      <c r="D710" s="19" t="n"/>
      <c r="E710" s="19" t="n"/>
      <c r="F710" s="19" t="n"/>
      <c r="G710" s="19" t="n"/>
      <c r="H710" s="19" t="n"/>
      <c r="I710" s="19" t="n"/>
      <c r="J710" s="19" t="n"/>
      <c r="K710" s="20" t="n"/>
      <c r="L710" s="22">
        <f>IF(OR(B710="",K710=""),"",K710-B710)</f>
        <v/>
      </c>
      <c r="M710" s="19" t="n"/>
      <c r="N710" s="19" t="n"/>
      <c r="O710" s="20" t="n"/>
      <c r="P710" s="19" t="n"/>
    </row>
    <row r="711">
      <c r="A711" s="19" t="n"/>
      <c r="B711" s="20" t="n"/>
      <c r="C711" s="21">
        <f>IF(B711="","",DATE(YEAR(B711),MONTH(B711),1))</f>
        <v/>
      </c>
      <c r="D711" s="19" t="n"/>
      <c r="E711" s="19" t="n"/>
      <c r="F711" s="19" t="n"/>
      <c r="G711" s="19" t="n"/>
      <c r="H711" s="19" t="n"/>
      <c r="I711" s="19" t="n"/>
      <c r="J711" s="19" t="n"/>
      <c r="K711" s="20" t="n"/>
      <c r="L711" s="22">
        <f>IF(OR(B711="",K711=""),"",K711-B711)</f>
        <v/>
      </c>
      <c r="M711" s="19" t="n"/>
      <c r="N711" s="19" t="n"/>
      <c r="O711" s="20" t="n"/>
      <c r="P711" s="19" t="n"/>
    </row>
    <row r="712">
      <c r="A712" s="19" t="n"/>
      <c r="B712" s="20" t="n"/>
      <c r="C712" s="21">
        <f>IF(B712="","",DATE(YEAR(B712),MONTH(B712),1))</f>
        <v/>
      </c>
      <c r="D712" s="19" t="n"/>
      <c r="E712" s="19" t="n"/>
      <c r="F712" s="19" t="n"/>
      <c r="G712" s="19" t="n"/>
      <c r="H712" s="19" t="n"/>
      <c r="I712" s="19" t="n"/>
      <c r="J712" s="19" t="n"/>
      <c r="K712" s="20" t="n"/>
      <c r="L712" s="22">
        <f>IF(OR(B712="",K712=""),"",K712-B712)</f>
        <v/>
      </c>
      <c r="M712" s="19" t="n"/>
      <c r="N712" s="19" t="n"/>
      <c r="O712" s="20" t="n"/>
      <c r="P712" s="19" t="n"/>
    </row>
    <row r="713">
      <c r="A713" s="19" t="n"/>
      <c r="B713" s="20" t="n"/>
      <c r="C713" s="21">
        <f>IF(B713="","",DATE(YEAR(B713),MONTH(B713),1))</f>
        <v/>
      </c>
      <c r="D713" s="19" t="n"/>
      <c r="E713" s="19" t="n"/>
      <c r="F713" s="19" t="n"/>
      <c r="G713" s="19" t="n"/>
      <c r="H713" s="19" t="n"/>
      <c r="I713" s="19" t="n"/>
      <c r="J713" s="19" t="n"/>
      <c r="K713" s="20" t="n"/>
      <c r="L713" s="22">
        <f>IF(OR(B713="",K713=""),"",K713-B713)</f>
        <v/>
      </c>
      <c r="M713" s="19" t="n"/>
      <c r="N713" s="19" t="n"/>
      <c r="O713" s="20" t="n"/>
      <c r="P713" s="19" t="n"/>
    </row>
    <row r="714">
      <c r="A714" s="19" t="n"/>
      <c r="B714" s="20" t="n"/>
      <c r="C714" s="21">
        <f>IF(B714="","",DATE(YEAR(B714),MONTH(B714),1))</f>
        <v/>
      </c>
      <c r="D714" s="19" t="n"/>
      <c r="E714" s="19" t="n"/>
      <c r="F714" s="19" t="n"/>
      <c r="G714" s="19" t="n"/>
      <c r="H714" s="19" t="n"/>
      <c r="I714" s="19" t="n"/>
      <c r="J714" s="19" t="n"/>
      <c r="K714" s="20" t="n"/>
      <c r="L714" s="22">
        <f>IF(OR(B714="",K714=""),"",K714-B714)</f>
        <v/>
      </c>
      <c r="M714" s="19" t="n"/>
      <c r="N714" s="19" t="n"/>
      <c r="O714" s="20" t="n"/>
      <c r="P714" s="19" t="n"/>
    </row>
    <row r="715">
      <c r="A715" s="19" t="n"/>
      <c r="B715" s="20" t="n"/>
      <c r="C715" s="21">
        <f>IF(B715="","",DATE(YEAR(B715),MONTH(B715),1))</f>
        <v/>
      </c>
      <c r="D715" s="19" t="n"/>
      <c r="E715" s="19" t="n"/>
      <c r="F715" s="19" t="n"/>
      <c r="G715" s="19" t="n"/>
      <c r="H715" s="19" t="n"/>
      <c r="I715" s="19" t="n"/>
      <c r="J715" s="19" t="n"/>
      <c r="K715" s="20" t="n"/>
      <c r="L715" s="22">
        <f>IF(OR(B715="",K715=""),"",K715-B715)</f>
        <v/>
      </c>
      <c r="M715" s="19" t="n"/>
      <c r="N715" s="19" t="n"/>
      <c r="O715" s="20" t="n"/>
      <c r="P715" s="19" t="n"/>
    </row>
    <row r="716">
      <c r="A716" s="19" t="n"/>
      <c r="B716" s="20" t="n"/>
      <c r="C716" s="21">
        <f>IF(B716="","",DATE(YEAR(B716),MONTH(B716),1))</f>
        <v/>
      </c>
      <c r="D716" s="19" t="n"/>
      <c r="E716" s="19" t="n"/>
      <c r="F716" s="19" t="n"/>
      <c r="G716" s="19" t="n"/>
      <c r="H716" s="19" t="n"/>
      <c r="I716" s="19" t="n"/>
      <c r="J716" s="19" t="n"/>
      <c r="K716" s="20" t="n"/>
      <c r="L716" s="22">
        <f>IF(OR(B716="",K716=""),"",K716-B716)</f>
        <v/>
      </c>
      <c r="M716" s="19" t="n"/>
      <c r="N716" s="19" t="n"/>
      <c r="O716" s="20" t="n"/>
      <c r="P716" s="19" t="n"/>
    </row>
    <row r="717">
      <c r="A717" s="19" t="n"/>
      <c r="B717" s="20" t="n"/>
      <c r="C717" s="21">
        <f>IF(B717="","",DATE(YEAR(B717),MONTH(B717),1))</f>
        <v/>
      </c>
      <c r="D717" s="19" t="n"/>
      <c r="E717" s="19" t="n"/>
      <c r="F717" s="19" t="n"/>
      <c r="G717" s="19" t="n"/>
      <c r="H717" s="19" t="n"/>
      <c r="I717" s="19" t="n"/>
      <c r="J717" s="19" t="n"/>
      <c r="K717" s="20" t="n"/>
      <c r="L717" s="22">
        <f>IF(OR(B717="",K717=""),"",K717-B717)</f>
        <v/>
      </c>
      <c r="M717" s="19" t="n"/>
      <c r="N717" s="19" t="n"/>
      <c r="O717" s="20" t="n"/>
      <c r="P717" s="19" t="n"/>
    </row>
    <row r="718">
      <c r="A718" s="19" t="n"/>
      <c r="B718" s="20" t="n"/>
      <c r="C718" s="21">
        <f>IF(B718="","",DATE(YEAR(B718),MONTH(B718),1))</f>
        <v/>
      </c>
      <c r="D718" s="19" t="n"/>
      <c r="E718" s="19" t="n"/>
      <c r="F718" s="19" t="n"/>
      <c r="G718" s="19" t="n"/>
      <c r="H718" s="19" t="n"/>
      <c r="I718" s="19" t="n"/>
      <c r="J718" s="19" t="n"/>
      <c r="K718" s="20" t="n"/>
      <c r="L718" s="22">
        <f>IF(OR(B718="",K718=""),"",K718-B718)</f>
        <v/>
      </c>
      <c r="M718" s="19" t="n"/>
      <c r="N718" s="19" t="n"/>
      <c r="O718" s="20" t="n"/>
      <c r="P718" s="19" t="n"/>
    </row>
    <row r="719">
      <c r="A719" s="19" t="n"/>
      <c r="B719" s="20" t="n"/>
      <c r="C719" s="21">
        <f>IF(B719="","",DATE(YEAR(B719),MONTH(B719),1))</f>
        <v/>
      </c>
      <c r="D719" s="19" t="n"/>
      <c r="E719" s="19" t="n"/>
      <c r="F719" s="19" t="n"/>
      <c r="G719" s="19" t="n"/>
      <c r="H719" s="19" t="n"/>
      <c r="I719" s="19" t="n"/>
      <c r="J719" s="19" t="n"/>
      <c r="K719" s="20" t="n"/>
      <c r="L719" s="22">
        <f>IF(OR(B719="",K719=""),"",K719-B719)</f>
        <v/>
      </c>
      <c r="M719" s="19" t="n"/>
      <c r="N719" s="19" t="n"/>
      <c r="O719" s="20" t="n"/>
      <c r="P719" s="19" t="n"/>
    </row>
    <row r="720">
      <c r="A720" s="19" t="n"/>
      <c r="B720" s="20" t="n"/>
      <c r="C720" s="21">
        <f>IF(B720="","",DATE(YEAR(B720),MONTH(B720),1))</f>
        <v/>
      </c>
      <c r="D720" s="19" t="n"/>
      <c r="E720" s="19" t="n"/>
      <c r="F720" s="19" t="n"/>
      <c r="G720" s="19" t="n"/>
      <c r="H720" s="19" t="n"/>
      <c r="I720" s="19" t="n"/>
      <c r="J720" s="19" t="n"/>
      <c r="K720" s="20" t="n"/>
      <c r="L720" s="22">
        <f>IF(OR(B720="",K720=""),"",K720-B720)</f>
        <v/>
      </c>
      <c r="M720" s="19" t="n"/>
      <c r="N720" s="19" t="n"/>
      <c r="O720" s="20" t="n"/>
      <c r="P720" s="19" t="n"/>
    </row>
    <row r="721">
      <c r="A721" s="19" t="n"/>
      <c r="B721" s="20" t="n"/>
      <c r="C721" s="21">
        <f>IF(B721="","",DATE(YEAR(B721),MONTH(B721),1))</f>
        <v/>
      </c>
      <c r="D721" s="19" t="n"/>
      <c r="E721" s="19" t="n"/>
      <c r="F721" s="19" t="n"/>
      <c r="G721" s="19" t="n"/>
      <c r="H721" s="19" t="n"/>
      <c r="I721" s="19" t="n"/>
      <c r="J721" s="19" t="n"/>
      <c r="K721" s="20" t="n"/>
      <c r="L721" s="22">
        <f>IF(OR(B721="",K721=""),"",K721-B721)</f>
        <v/>
      </c>
      <c r="M721" s="19" t="n"/>
      <c r="N721" s="19" t="n"/>
      <c r="O721" s="20" t="n"/>
      <c r="P721" s="19" t="n"/>
    </row>
    <row r="722">
      <c r="A722" s="19" t="n"/>
      <c r="B722" s="20" t="n"/>
      <c r="C722" s="21">
        <f>IF(B722="","",DATE(YEAR(B722),MONTH(B722),1))</f>
        <v/>
      </c>
      <c r="D722" s="19" t="n"/>
      <c r="E722" s="19" t="n"/>
      <c r="F722" s="19" t="n"/>
      <c r="G722" s="19" t="n"/>
      <c r="H722" s="19" t="n"/>
      <c r="I722" s="19" t="n"/>
      <c r="J722" s="19" t="n"/>
      <c r="K722" s="20" t="n"/>
      <c r="L722" s="22">
        <f>IF(OR(B722="",K722=""),"",K722-B722)</f>
        <v/>
      </c>
      <c r="M722" s="19" t="n"/>
      <c r="N722" s="19" t="n"/>
      <c r="O722" s="20" t="n"/>
      <c r="P722" s="19" t="n"/>
    </row>
    <row r="723">
      <c r="A723" s="19" t="n"/>
      <c r="B723" s="20" t="n"/>
      <c r="C723" s="21">
        <f>IF(B723="","",DATE(YEAR(B723),MONTH(B723),1))</f>
        <v/>
      </c>
      <c r="D723" s="19" t="n"/>
      <c r="E723" s="19" t="n"/>
      <c r="F723" s="19" t="n"/>
      <c r="G723" s="19" t="n"/>
      <c r="H723" s="19" t="n"/>
      <c r="I723" s="19" t="n"/>
      <c r="J723" s="19" t="n"/>
      <c r="K723" s="20" t="n"/>
      <c r="L723" s="22">
        <f>IF(OR(B723="",K723=""),"",K723-B723)</f>
        <v/>
      </c>
      <c r="M723" s="19" t="n"/>
      <c r="N723" s="19" t="n"/>
      <c r="O723" s="20" t="n"/>
      <c r="P723" s="19" t="n"/>
    </row>
    <row r="724">
      <c r="A724" s="19" t="n"/>
      <c r="B724" s="20" t="n"/>
      <c r="C724" s="21">
        <f>IF(B724="","",DATE(YEAR(B724),MONTH(B724),1))</f>
        <v/>
      </c>
      <c r="D724" s="19" t="n"/>
      <c r="E724" s="19" t="n"/>
      <c r="F724" s="19" t="n"/>
      <c r="G724" s="19" t="n"/>
      <c r="H724" s="19" t="n"/>
      <c r="I724" s="19" t="n"/>
      <c r="J724" s="19" t="n"/>
      <c r="K724" s="20" t="n"/>
      <c r="L724" s="22">
        <f>IF(OR(B724="",K724=""),"",K724-B724)</f>
        <v/>
      </c>
      <c r="M724" s="19" t="n"/>
      <c r="N724" s="19" t="n"/>
      <c r="O724" s="20" t="n"/>
      <c r="P724" s="19" t="n"/>
    </row>
    <row r="725">
      <c r="A725" s="19" t="n"/>
      <c r="B725" s="20" t="n"/>
      <c r="C725" s="21">
        <f>IF(B725="","",DATE(YEAR(B725),MONTH(B725),1))</f>
        <v/>
      </c>
      <c r="D725" s="19" t="n"/>
      <c r="E725" s="19" t="n"/>
      <c r="F725" s="19" t="n"/>
      <c r="G725" s="19" t="n"/>
      <c r="H725" s="19" t="n"/>
      <c r="I725" s="19" t="n"/>
      <c r="J725" s="19" t="n"/>
      <c r="K725" s="20" t="n"/>
      <c r="L725" s="22">
        <f>IF(OR(B725="",K725=""),"",K725-B725)</f>
        <v/>
      </c>
      <c r="M725" s="19" t="n"/>
      <c r="N725" s="19" t="n"/>
      <c r="O725" s="20" t="n"/>
      <c r="P725" s="19" t="n"/>
    </row>
    <row r="726">
      <c r="A726" s="19" t="n"/>
      <c r="B726" s="20" t="n"/>
      <c r="C726" s="21">
        <f>IF(B726="","",DATE(YEAR(B726),MONTH(B726),1))</f>
        <v/>
      </c>
      <c r="D726" s="19" t="n"/>
      <c r="E726" s="19" t="n"/>
      <c r="F726" s="19" t="n"/>
      <c r="G726" s="19" t="n"/>
      <c r="H726" s="19" t="n"/>
      <c r="I726" s="19" t="n"/>
      <c r="J726" s="19" t="n"/>
      <c r="K726" s="20" t="n"/>
      <c r="L726" s="22">
        <f>IF(OR(B726="",K726=""),"",K726-B726)</f>
        <v/>
      </c>
      <c r="M726" s="19" t="n"/>
      <c r="N726" s="19" t="n"/>
      <c r="O726" s="20" t="n"/>
      <c r="P726" s="19" t="n"/>
    </row>
    <row r="727">
      <c r="A727" s="19" t="n"/>
      <c r="B727" s="20" t="n"/>
      <c r="C727" s="21">
        <f>IF(B727="","",DATE(YEAR(B727),MONTH(B727),1))</f>
        <v/>
      </c>
      <c r="D727" s="19" t="n"/>
      <c r="E727" s="19" t="n"/>
      <c r="F727" s="19" t="n"/>
      <c r="G727" s="19" t="n"/>
      <c r="H727" s="19" t="n"/>
      <c r="I727" s="19" t="n"/>
      <c r="J727" s="19" t="n"/>
      <c r="K727" s="20" t="n"/>
      <c r="L727" s="22">
        <f>IF(OR(B727="",K727=""),"",K727-B727)</f>
        <v/>
      </c>
      <c r="M727" s="19" t="n"/>
      <c r="N727" s="19" t="n"/>
      <c r="O727" s="20" t="n"/>
      <c r="P727" s="19" t="n"/>
    </row>
    <row r="728">
      <c r="A728" s="19" t="n"/>
      <c r="B728" s="20" t="n"/>
      <c r="C728" s="21">
        <f>IF(B728="","",DATE(YEAR(B728),MONTH(B728),1))</f>
        <v/>
      </c>
      <c r="D728" s="19" t="n"/>
      <c r="E728" s="19" t="n"/>
      <c r="F728" s="19" t="n"/>
      <c r="G728" s="19" t="n"/>
      <c r="H728" s="19" t="n"/>
      <c r="I728" s="19" t="n"/>
      <c r="J728" s="19" t="n"/>
      <c r="K728" s="20" t="n"/>
      <c r="L728" s="22">
        <f>IF(OR(B728="",K728=""),"",K728-B728)</f>
        <v/>
      </c>
      <c r="M728" s="19" t="n"/>
      <c r="N728" s="19" t="n"/>
      <c r="O728" s="20" t="n"/>
      <c r="P728" s="19" t="n"/>
    </row>
    <row r="729">
      <c r="A729" s="19" t="n"/>
      <c r="B729" s="20" t="n"/>
      <c r="C729" s="21">
        <f>IF(B729="","",DATE(YEAR(B729),MONTH(B729),1))</f>
        <v/>
      </c>
      <c r="D729" s="19" t="n"/>
      <c r="E729" s="19" t="n"/>
      <c r="F729" s="19" t="n"/>
      <c r="G729" s="19" t="n"/>
      <c r="H729" s="19" t="n"/>
      <c r="I729" s="19" t="n"/>
      <c r="J729" s="19" t="n"/>
      <c r="K729" s="20" t="n"/>
      <c r="L729" s="22">
        <f>IF(OR(B729="",K729=""),"",K729-B729)</f>
        <v/>
      </c>
      <c r="M729" s="19" t="n"/>
      <c r="N729" s="19" t="n"/>
      <c r="O729" s="20" t="n"/>
      <c r="P729" s="19" t="n"/>
    </row>
    <row r="730">
      <c r="A730" s="19" t="n"/>
      <c r="B730" s="20" t="n"/>
      <c r="C730" s="21">
        <f>IF(B730="","",DATE(YEAR(B730),MONTH(B730),1))</f>
        <v/>
      </c>
      <c r="D730" s="19" t="n"/>
      <c r="E730" s="19" t="n"/>
      <c r="F730" s="19" t="n"/>
      <c r="G730" s="19" t="n"/>
      <c r="H730" s="19" t="n"/>
      <c r="I730" s="19" t="n"/>
      <c r="J730" s="19" t="n"/>
      <c r="K730" s="20" t="n"/>
      <c r="L730" s="22">
        <f>IF(OR(B730="",K730=""),"",K730-B730)</f>
        <v/>
      </c>
      <c r="M730" s="19" t="n"/>
      <c r="N730" s="19" t="n"/>
      <c r="O730" s="20" t="n"/>
      <c r="P730" s="19" t="n"/>
    </row>
    <row r="731">
      <c r="A731" s="19" t="n"/>
      <c r="B731" s="20" t="n"/>
      <c r="C731" s="21">
        <f>IF(B731="","",DATE(YEAR(B731),MONTH(B731),1))</f>
        <v/>
      </c>
      <c r="D731" s="19" t="n"/>
      <c r="E731" s="19" t="n"/>
      <c r="F731" s="19" t="n"/>
      <c r="G731" s="19" t="n"/>
      <c r="H731" s="19" t="n"/>
      <c r="I731" s="19" t="n"/>
      <c r="J731" s="19" t="n"/>
      <c r="K731" s="20" t="n"/>
      <c r="L731" s="22">
        <f>IF(OR(B731="",K731=""),"",K731-B731)</f>
        <v/>
      </c>
      <c r="M731" s="19" t="n"/>
      <c r="N731" s="19" t="n"/>
      <c r="O731" s="20" t="n"/>
      <c r="P731" s="19" t="n"/>
    </row>
    <row r="732">
      <c r="A732" s="19" t="n"/>
      <c r="B732" s="20" t="n"/>
      <c r="C732" s="21">
        <f>IF(B732="","",DATE(YEAR(B732),MONTH(B732),1))</f>
        <v/>
      </c>
      <c r="D732" s="19" t="n"/>
      <c r="E732" s="19" t="n"/>
      <c r="F732" s="19" t="n"/>
      <c r="G732" s="19" t="n"/>
      <c r="H732" s="19" t="n"/>
      <c r="I732" s="19" t="n"/>
      <c r="J732" s="19" t="n"/>
      <c r="K732" s="20" t="n"/>
      <c r="L732" s="22">
        <f>IF(OR(B732="",K732=""),"",K732-B732)</f>
        <v/>
      </c>
      <c r="M732" s="19" t="n"/>
      <c r="N732" s="19" t="n"/>
      <c r="O732" s="20" t="n"/>
      <c r="P732" s="19" t="n"/>
    </row>
    <row r="733">
      <c r="A733" s="19" t="n"/>
      <c r="B733" s="20" t="n"/>
      <c r="C733" s="21">
        <f>IF(B733="","",DATE(YEAR(B733),MONTH(B733),1))</f>
        <v/>
      </c>
      <c r="D733" s="19" t="n"/>
      <c r="E733" s="19" t="n"/>
      <c r="F733" s="19" t="n"/>
      <c r="G733" s="19" t="n"/>
      <c r="H733" s="19" t="n"/>
      <c r="I733" s="19" t="n"/>
      <c r="J733" s="19" t="n"/>
      <c r="K733" s="20" t="n"/>
      <c r="L733" s="22">
        <f>IF(OR(B733="",K733=""),"",K733-B733)</f>
        <v/>
      </c>
      <c r="M733" s="19" t="n"/>
      <c r="N733" s="19" t="n"/>
      <c r="O733" s="20" t="n"/>
      <c r="P733" s="19" t="n"/>
    </row>
    <row r="734">
      <c r="A734" s="19" t="n"/>
      <c r="B734" s="20" t="n"/>
      <c r="C734" s="21">
        <f>IF(B734="","",DATE(YEAR(B734),MONTH(B734),1))</f>
        <v/>
      </c>
      <c r="D734" s="19" t="n"/>
      <c r="E734" s="19" t="n"/>
      <c r="F734" s="19" t="n"/>
      <c r="G734" s="19" t="n"/>
      <c r="H734" s="19" t="n"/>
      <c r="I734" s="19" t="n"/>
      <c r="J734" s="19" t="n"/>
      <c r="K734" s="20" t="n"/>
      <c r="L734" s="22">
        <f>IF(OR(B734="",K734=""),"",K734-B734)</f>
        <v/>
      </c>
      <c r="M734" s="19" t="n"/>
      <c r="N734" s="19" t="n"/>
      <c r="O734" s="20" t="n"/>
      <c r="P734" s="19" t="n"/>
    </row>
    <row r="735">
      <c r="A735" s="19" t="n"/>
      <c r="B735" s="20" t="n"/>
      <c r="C735" s="21">
        <f>IF(B735="","",DATE(YEAR(B735),MONTH(B735),1))</f>
        <v/>
      </c>
      <c r="D735" s="19" t="n"/>
      <c r="E735" s="19" t="n"/>
      <c r="F735" s="19" t="n"/>
      <c r="G735" s="19" t="n"/>
      <c r="H735" s="19" t="n"/>
      <c r="I735" s="19" t="n"/>
      <c r="J735" s="19" t="n"/>
      <c r="K735" s="20" t="n"/>
      <c r="L735" s="22">
        <f>IF(OR(B735="",K735=""),"",K735-B735)</f>
        <v/>
      </c>
      <c r="M735" s="19" t="n"/>
      <c r="N735" s="19" t="n"/>
      <c r="O735" s="20" t="n"/>
      <c r="P735" s="19" t="n"/>
    </row>
    <row r="736">
      <c r="A736" s="19" t="n"/>
      <c r="B736" s="20" t="n"/>
      <c r="C736" s="21">
        <f>IF(B736="","",DATE(YEAR(B736),MONTH(B736),1))</f>
        <v/>
      </c>
      <c r="D736" s="19" t="n"/>
      <c r="E736" s="19" t="n"/>
      <c r="F736" s="19" t="n"/>
      <c r="G736" s="19" t="n"/>
      <c r="H736" s="19" t="n"/>
      <c r="I736" s="19" t="n"/>
      <c r="J736" s="19" t="n"/>
      <c r="K736" s="20" t="n"/>
      <c r="L736" s="22">
        <f>IF(OR(B736="",K736=""),"",K736-B736)</f>
        <v/>
      </c>
      <c r="M736" s="19" t="n"/>
      <c r="N736" s="19" t="n"/>
      <c r="O736" s="20" t="n"/>
      <c r="P736" s="19" t="n"/>
    </row>
    <row r="737">
      <c r="A737" s="19" t="n"/>
      <c r="B737" s="20" t="n"/>
      <c r="C737" s="21">
        <f>IF(B737="","",DATE(YEAR(B737),MONTH(B737),1))</f>
        <v/>
      </c>
      <c r="D737" s="19" t="n"/>
      <c r="E737" s="19" t="n"/>
      <c r="F737" s="19" t="n"/>
      <c r="G737" s="19" t="n"/>
      <c r="H737" s="19" t="n"/>
      <c r="I737" s="19" t="n"/>
      <c r="J737" s="19" t="n"/>
      <c r="K737" s="20" t="n"/>
      <c r="L737" s="22">
        <f>IF(OR(B737="",K737=""),"",K737-B737)</f>
        <v/>
      </c>
      <c r="M737" s="19" t="n"/>
      <c r="N737" s="19" t="n"/>
      <c r="O737" s="20" t="n"/>
      <c r="P737" s="19" t="n"/>
    </row>
    <row r="738">
      <c r="A738" s="19" t="n"/>
      <c r="B738" s="20" t="n"/>
      <c r="C738" s="21">
        <f>IF(B738="","",DATE(YEAR(B738),MONTH(B738),1))</f>
        <v/>
      </c>
      <c r="D738" s="19" t="n"/>
      <c r="E738" s="19" t="n"/>
      <c r="F738" s="19" t="n"/>
      <c r="G738" s="19" t="n"/>
      <c r="H738" s="19" t="n"/>
      <c r="I738" s="19" t="n"/>
      <c r="J738" s="19" t="n"/>
      <c r="K738" s="20" t="n"/>
      <c r="L738" s="22">
        <f>IF(OR(B738="",K738=""),"",K738-B738)</f>
        <v/>
      </c>
      <c r="M738" s="19" t="n"/>
      <c r="N738" s="19" t="n"/>
      <c r="O738" s="20" t="n"/>
      <c r="P738" s="19" t="n"/>
    </row>
    <row r="739">
      <c r="A739" s="19" t="n"/>
      <c r="B739" s="20" t="n"/>
      <c r="C739" s="21">
        <f>IF(B739="","",DATE(YEAR(B739),MONTH(B739),1))</f>
        <v/>
      </c>
      <c r="D739" s="19" t="n"/>
      <c r="E739" s="19" t="n"/>
      <c r="F739" s="19" t="n"/>
      <c r="G739" s="19" t="n"/>
      <c r="H739" s="19" t="n"/>
      <c r="I739" s="19" t="n"/>
      <c r="J739" s="19" t="n"/>
      <c r="K739" s="20" t="n"/>
      <c r="L739" s="22">
        <f>IF(OR(B739="",K739=""),"",K739-B739)</f>
        <v/>
      </c>
      <c r="M739" s="19" t="n"/>
      <c r="N739" s="19" t="n"/>
      <c r="O739" s="20" t="n"/>
      <c r="P739" s="19" t="n"/>
    </row>
    <row r="740">
      <c r="A740" s="19" t="n"/>
      <c r="B740" s="20" t="n"/>
      <c r="C740" s="21">
        <f>IF(B740="","",DATE(YEAR(B740),MONTH(B740),1))</f>
        <v/>
      </c>
      <c r="D740" s="19" t="n"/>
      <c r="E740" s="19" t="n"/>
      <c r="F740" s="19" t="n"/>
      <c r="G740" s="19" t="n"/>
      <c r="H740" s="19" t="n"/>
      <c r="I740" s="19" t="n"/>
      <c r="J740" s="19" t="n"/>
      <c r="K740" s="20" t="n"/>
      <c r="L740" s="22">
        <f>IF(OR(B740="",K740=""),"",K740-B740)</f>
        <v/>
      </c>
      <c r="M740" s="19" t="n"/>
      <c r="N740" s="19" t="n"/>
      <c r="O740" s="20" t="n"/>
      <c r="P740" s="19" t="n"/>
    </row>
    <row r="741">
      <c r="A741" s="19" t="n"/>
      <c r="B741" s="20" t="n"/>
      <c r="C741" s="21">
        <f>IF(B741="","",DATE(YEAR(B741),MONTH(B741),1))</f>
        <v/>
      </c>
      <c r="D741" s="19" t="n"/>
      <c r="E741" s="19" t="n"/>
      <c r="F741" s="19" t="n"/>
      <c r="G741" s="19" t="n"/>
      <c r="H741" s="19" t="n"/>
      <c r="I741" s="19" t="n"/>
      <c r="J741" s="19" t="n"/>
      <c r="K741" s="20" t="n"/>
      <c r="L741" s="22">
        <f>IF(OR(B741="",K741=""),"",K741-B741)</f>
        <v/>
      </c>
      <c r="M741" s="19" t="n"/>
      <c r="N741" s="19" t="n"/>
      <c r="O741" s="20" t="n"/>
      <c r="P741" s="19" t="n"/>
    </row>
    <row r="742">
      <c r="A742" s="19" t="n"/>
      <c r="B742" s="20" t="n"/>
      <c r="C742" s="21">
        <f>IF(B742="","",DATE(YEAR(B742),MONTH(B742),1))</f>
        <v/>
      </c>
      <c r="D742" s="19" t="n"/>
      <c r="E742" s="19" t="n"/>
      <c r="F742" s="19" t="n"/>
      <c r="G742" s="19" t="n"/>
      <c r="H742" s="19" t="n"/>
      <c r="I742" s="19" t="n"/>
      <c r="J742" s="19" t="n"/>
      <c r="K742" s="20" t="n"/>
      <c r="L742" s="22">
        <f>IF(OR(B742="",K742=""),"",K742-B742)</f>
        <v/>
      </c>
      <c r="M742" s="19" t="n"/>
      <c r="N742" s="19" t="n"/>
      <c r="O742" s="20" t="n"/>
      <c r="P742" s="19" t="n"/>
    </row>
    <row r="743">
      <c r="A743" s="19" t="n"/>
      <c r="B743" s="20" t="n"/>
      <c r="C743" s="21">
        <f>IF(B743="","",DATE(YEAR(B743),MONTH(B743),1))</f>
        <v/>
      </c>
      <c r="D743" s="19" t="n"/>
      <c r="E743" s="19" t="n"/>
      <c r="F743" s="19" t="n"/>
      <c r="G743" s="19" t="n"/>
      <c r="H743" s="19" t="n"/>
      <c r="I743" s="19" t="n"/>
      <c r="J743" s="19" t="n"/>
      <c r="K743" s="20" t="n"/>
      <c r="L743" s="22">
        <f>IF(OR(B743="",K743=""),"",K743-B743)</f>
        <v/>
      </c>
      <c r="M743" s="19" t="n"/>
      <c r="N743" s="19" t="n"/>
      <c r="O743" s="20" t="n"/>
      <c r="P743" s="19" t="n"/>
    </row>
    <row r="744">
      <c r="A744" s="19" t="n"/>
      <c r="B744" s="20" t="n"/>
      <c r="C744" s="21">
        <f>IF(B744="","",DATE(YEAR(B744),MONTH(B744),1))</f>
        <v/>
      </c>
      <c r="D744" s="19" t="n"/>
      <c r="E744" s="19" t="n"/>
      <c r="F744" s="19" t="n"/>
      <c r="G744" s="19" t="n"/>
      <c r="H744" s="19" t="n"/>
      <c r="I744" s="19" t="n"/>
      <c r="J744" s="19" t="n"/>
      <c r="K744" s="20" t="n"/>
      <c r="L744" s="22">
        <f>IF(OR(B744="",K744=""),"",K744-B744)</f>
        <v/>
      </c>
      <c r="M744" s="19" t="n"/>
      <c r="N744" s="19" t="n"/>
      <c r="O744" s="20" t="n"/>
      <c r="P744" s="19" t="n"/>
    </row>
    <row r="745">
      <c r="A745" s="19" t="n"/>
      <c r="B745" s="20" t="n"/>
      <c r="C745" s="21">
        <f>IF(B745="","",DATE(YEAR(B745),MONTH(B745),1))</f>
        <v/>
      </c>
      <c r="D745" s="19" t="n"/>
      <c r="E745" s="19" t="n"/>
      <c r="F745" s="19" t="n"/>
      <c r="G745" s="19" t="n"/>
      <c r="H745" s="19" t="n"/>
      <c r="I745" s="19" t="n"/>
      <c r="J745" s="19" t="n"/>
      <c r="K745" s="20" t="n"/>
      <c r="L745" s="22">
        <f>IF(OR(B745="",K745=""),"",K745-B745)</f>
        <v/>
      </c>
      <c r="M745" s="19" t="n"/>
      <c r="N745" s="19" t="n"/>
      <c r="O745" s="20" t="n"/>
      <c r="P745" s="19" t="n"/>
    </row>
    <row r="746">
      <c r="A746" s="19" t="n"/>
      <c r="B746" s="20" t="n"/>
      <c r="C746" s="21">
        <f>IF(B746="","",DATE(YEAR(B746),MONTH(B746),1))</f>
        <v/>
      </c>
      <c r="D746" s="19" t="n"/>
      <c r="E746" s="19" t="n"/>
      <c r="F746" s="19" t="n"/>
      <c r="G746" s="19" t="n"/>
      <c r="H746" s="19" t="n"/>
      <c r="I746" s="19" t="n"/>
      <c r="J746" s="19" t="n"/>
      <c r="K746" s="20" t="n"/>
      <c r="L746" s="22">
        <f>IF(OR(B746="",K746=""),"",K746-B746)</f>
        <v/>
      </c>
      <c r="M746" s="19" t="n"/>
      <c r="N746" s="19" t="n"/>
      <c r="O746" s="20" t="n"/>
      <c r="P746" s="19" t="n"/>
    </row>
    <row r="747">
      <c r="A747" s="19" t="n"/>
      <c r="B747" s="20" t="n"/>
      <c r="C747" s="21">
        <f>IF(B747="","",DATE(YEAR(B747),MONTH(B747),1))</f>
        <v/>
      </c>
      <c r="D747" s="19" t="n"/>
      <c r="E747" s="19" t="n"/>
      <c r="F747" s="19" t="n"/>
      <c r="G747" s="19" t="n"/>
      <c r="H747" s="19" t="n"/>
      <c r="I747" s="19" t="n"/>
      <c r="J747" s="19" t="n"/>
      <c r="K747" s="20" t="n"/>
      <c r="L747" s="22">
        <f>IF(OR(B747="",K747=""),"",K747-B747)</f>
        <v/>
      </c>
      <c r="M747" s="19" t="n"/>
      <c r="N747" s="19" t="n"/>
      <c r="O747" s="20" t="n"/>
      <c r="P747" s="19" t="n"/>
    </row>
    <row r="748">
      <c r="A748" s="19" t="n"/>
      <c r="B748" s="20" t="n"/>
      <c r="C748" s="21">
        <f>IF(B748="","",DATE(YEAR(B748),MONTH(B748),1))</f>
        <v/>
      </c>
      <c r="D748" s="19" t="n"/>
      <c r="E748" s="19" t="n"/>
      <c r="F748" s="19" t="n"/>
      <c r="G748" s="19" t="n"/>
      <c r="H748" s="19" t="n"/>
      <c r="I748" s="19" t="n"/>
      <c r="J748" s="19" t="n"/>
      <c r="K748" s="20" t="n"/>
      <c r="L748" s="22">
        <f>IF(OR(B748="",K748=""),"",K748-B748)</f>
        <v/>
      </c>
      <c r="M748" s="19" t="n"/>
      <c r="N748" s="19" t="n"/>
      <c r="O748" s="20" t="n"/>
      <c r="P748" s="19" t="n"/>
    </row>
    <row r="749">
      <c r="A749" s="19" t="n"/>
      <c r="B749" s="20" t="n"/>
      <c r="C749" s="21">
        <f>IF(B749="","",DATE(YEAR(B749),MONTH(B749),1))</f>
        <v/>
      </c>
      <c r="D749" s="19" t="n"/>
      <c r="E749" s="19" t="n"/>
      <c r="F749" s="19" t="n"/>
      <c r="G749" s="19" t="n"/>
      <c r="H749" s="19" t="n"/>
      <c r="I749" s="19" t="n"/>
      <c r="J749" s="19" t="n"/>
      <c r="K749" s="20" t="n"/>
      <c r="L749" s="22">
        <f>IF(OR(B749="",K749=""),"",K749-B749)</f>
        <v/>
      </c>
      <c r="M749" s="19" t="n"/>
      <c r="N749" s="19" t="n"/>
      <c r="O749" s="20" t="n"/>
      <c r="P749" s="19" t="n"/>
    </row>
    <row r="750">
      <c r="A750" s="19" t="n"/>
      <c r="B750" s="20" t="n"/>
      <c r="C750" s="21">
        <f>IF(B750="","",DATE(YEAR(B750),MONTH(B750),1))</f>
        <v/>
      </c>
      <c r="D750" s="19" t="n"/>
      <c r="E750" s="19" t="n"/>
      <c r="F750" s="19" t="n"/>
      <c r="G750" s="19" t="n"/>
      <c r="H750" s="19" t="n"/>
      <c r="I750" s="19" t="n"/>
      <c r="J750" s="19" t="n"/>
      <c r="K750" s="20" t="n"/>
      <c r="L750" s="22">
        <f>IF(OR(B750="",K750=""),"",K750-B750)</f>
        <v/>
      </c>
      <c r="M750" s="19" t="n"/>
      <c r="N750" s="19" t="n"/>
      <c r="O750" s="20" t="n"/>
      <c r="P750" s="19" t="n"/>
    </row>
    <row r="751">
      <c r="A751" s="19" t="n"/>
      <c r="B751" s="20" t="n"/>
      <c r="C751" s="21">
        <f>IF(B751="","",DATE(YEAR(B751),MONTH(B751),1))</f>
        <v/>
      </c>
      <c r="D751" s="19" t="n"/>
      <c r="E751" s="19" t="n"/>
      <c r="F751" s="19" t="n"/>
      <c r="G751" s="19" t="n"/>
      <c r="H751" s="19" t="n"/>
      <c r="I751" s="19" t="n"/>
      <c r="J751" s="19" t="n"/>
      <c r="K751" s="20" t="n"/>
      <c r="L751" s="22">
        <f>IF(OR(B751="",K751=""),"",K751-B751)</f>
        <v/>
      </c>
      <c r="M751" s="19" t="n"/>
      <c r="N751" s="19" t="n"/>
      <c r="O751" s="20" t="n"/>
      <c r="P751" s="19" t="n"/>
    </row>
    <row r="752">
      <c r="A752" s="19" t="n"/>
      <c r="B752" s="20" t="n"/>
      <c r="C752" s="21">
        <f>IF(B752="","",DATE(YEAR(B752),MONTH(B752),1))</f>
        <v/>
      </c>
      <c r="D752" s="19" t="n"/>
      <c r="E752" s="19" t="n"/>
      <c r="F752" s="19" t="n"/>
      <c r="G752" s="19" t="n"/>
      <c r="H752" s="19" t="n"/>
      <c r="I752" s="19" t="n"/>
      <c r="J752" s="19" t="n"/>
      <c r="K752" s="20" t="n"/>
      <c r="L752" s="22">
        <f>IF(OR(B752="",K752=""),"",K752-B752)</f>
        <v/>
      </c>
      <c r="M752" s="19" t="n"/>
      <c r="N752" s="19" t="n"/>
      <c r="O752" s="20" t="n"/>
      <c r="P752" s="19" t="n"/>
    </row>
    <row r="753">
      <c r="A753" s="19" t="n"/>
      <c r="B753" s="20" t="n"/>
      <c r="C753" s="21">
        <f>IF(B753="","",DATE(YEAR(B753),MONTH(B753),1))</f>
        <v/>
      </c>
      <c r="D753" s="19" t="n"/>
      <c r="E753" s="19" t="n"/>
      <c r="F753" s="19" t="n"/>
      <c r="G753" s="19" t="n"/>
      <c r="H753" s="19" t="n"/>
      <c r="I753" s="19" t="n"/>
      <c r="J753" s="19" t="n"/>
      <c r="K753" s="20" t="n"/>
      <c r="L753" s="22">
        <f>IF(OR(B753="",K753=""),"",K753-B753)</f>
        <v/>
      </c>
      <c r="M753" s="19" t="n"/>
      <c r="N753" s="19" t="n"/>
      <c r="O753" s="20" t="n"/>
      <c r="P753" s="19" t="n"/>
    </row>
    <row r="754">
      <c r="A754" s="19" t="n"/>
      <c r="B754" s="20" t="n"/>
      <c r="C754" s="21">
        <f>IF(B754="","",DATE(YEAR(B754),MONTH(B754),1))</f>
        <v/>
      </c>
      <c r="D754" s="19" t="n"/>
      <c r="E754" s="19" t="n"/>
      <c r="F754" s="19" t="n"/>
      <c r="G754" s="19" t="n"/>
      <c r="H754" s="19" t="n"/>
      <c r="I754" s="19" t="n"/>
      <c r="J754" s="19" t="n"/>
      <c r="K754" s="20" t="n"/>
      <c r="L754" s="22">
        <f>IF(OR(B754="",K754=""),"",K754-B754)</f>
        <v/>
      </c>
      <c r="M754" s="19" t="n"/>
      <c r="N754" s="19" t="n"/>
      <c r="O754" s="20" t="n"/>
      <c r="P754" s="19" t="n"/>
    </row>
    <row r="755">
      <c r="A755" s="19" t="n"/>
      <c r="B755" s="20" t="n"/>
      <c r="C755" s="21">
        <f>IF(B755="","",DATE(YEAR(B755),MONTH(B755),1))</f>
        <v/>
      </c>
      <c r="D755" s="19" t="n"/>
      <c r="E755" s="19" t="n"/>
      <c r="F755" s="19" t="n"/>
      <c r="G755" s="19" t="n"/>
      <c r="H755" s="19" t="n"/>
      <c r="I755" s="19" t="n"/>
      <c r="J755" s="19" t="n"/>
      <c r="K755" s="20" t="n"/>
      <c r="L755" s="22">
        <f>IF(OR(B755="",K755=""),"",K755-B755)</f>
        <v/>
      </c>
      <c r="M755" s="19" t="n"/>
      <c r="N755" s="19" t="n"/>
      <c r="O755" s="20" t="n"/>
      <c r="P755" s="19" t="n"/>
    </row>
    <row r="756">
      <c r="A756" s="19" t="n"/>
      <c r="B756" s="20" t="n"/>
      <c r="C756" s="21">
        <f>IF(B756="","",DATE(YEAR(B756),MONTH(B756),1))</f>
        <v/>
      </c>
      <c r="D756" s="19" t="n"/>
      <c r="E756" s="19" t="n"/>
      <c r="F756" s="19" t="n"/>
      <c r="G756" s="19" t="n"/>
      <c r="H756" s="19" t="n"/>
      <c r="I756" s="19" t="n"/>
      <c r="J756" s="19" t="n"/>
      <c r="K756" s="20" t="n"/>
      <c r="L756" s="22">
        <f>IF(OR(B756="",K756=""),"",K756-B756)</f>
        <v/>
      </c>
      <c r="M756" s="19" t="n"/>
      <c r="N756" s="19" t="n"/>
      <c r="O756" s="20" t="n"/>
      <c r="P756" s="19" t="n"/>
    </row>
    <row r="757">
      <c r="A757" s="19" t="n"/>
      <c r="B757" s="20" t="n"/>
      <c r="C757" s="21">
        <f>IF(B757="","",DATE(YEAR(B757),MONTH(B757),1))</f>
        <v/>
      </c>
      <c r="D757" s="19" t="n"/>
      <c r="E757" s="19" t="n"/>
      <c r="F757" s="19" t="n"/>
      <c r="G757" s="19" t="n"/>
      <c r="H757" s="19" t="n"/>
      <c r="I757" s="19" t="n"/>
      <c r="J757" s="19" t="n"/>
      <c r="K757" s="20" t="n"/>
      <c r="L757" s="22">
        <f>IF(OR(B757="",K757=""),"",K757-B757)</f>
        <v/>
      </c>
      <c r="M757" s="19" t="n"/>
      <c r="N757" s="19" t="n"/>
      <c r="O757" s="20" t="n"/>
      <c r="P757" s="19" t="n"/>
    </row>
    <row r="758">
      <c r="A758" s="19" t="n"/>
      <c r="B758" s="20" t="n"/>
      <c r="C758" s="21">
        <f>IF(B758="","",DATE(YEAR(B758),MONTH(B758),1))</f>
        <v/>
      </c>
      <c r="D758" s="19" t="n"/>
      <c r="E758" s="19" t="n"/>
      <c r="F758" s="19" t="n"/>
      <c r="G758" s="19" t="n"/>
      <c r="H758" s="19" t="n"/>
      <c r="I758" s="19" t="n"/>
      <c r="J758" s="19" t="n"/>
      <c r="K758" s="20" t="n"/>
      <c r="L758" s="22">
        <f>IF(OR(B758="",K758=""),"",K758-B758)</f>
        <v/>
      </c>
      <c r="M758" s="19" t="n"/>
      <c r="N758" s="19" t="n"/>
      <c r="O758" s="20" t="n"/>
      <c r="P758" s="19" t="n"/>
    </row>
    <row r="759">
      <c r="A759" s="19" t="n"/>
      <c r="B759" s="20" t="n"/>
      <c r="C759" s="21">
        <f>IF(B759="","",DATE(YEAR(B759),MONTH(B759),1))</f>
        <v/>
      </c>
      <c r="D759" s="19" t="n"/>
      <c r="E759" s="19" t="n"/>
      <c r="F759" s="19" t="n"/>
      <c r="G759" s="19" t="n"/>
      <c r="H759" s="19" t="n"/>
      <c r="I759" s="19" t="n"/>
      <c r="J759" s="19" t="n"/>
      <c r="K759" s="20" t="n"/>
      <c r="L759" s="22">
        <f>IF(OR(B759="",K759=""),"",K759-B759)</f>
        <v/>
      </c>
      <c r="M759" s="19" t="n"/>
      <c r="N759" s="19" t="n"/>
      <c r="O759" s="20" t="n"/>
      <c r="P759" s="19" t="n"/>
    </row>
    <row r="760">
      <c r="A760" s="19" t="n"/>
      <c r="B760" s="20" t="n"/>
      <c r="C760" s="21">
        <f>IF(B760="","",DATE(YEAR(B760),MONTH(B760),1))</f>
        <v/>
      </c>
      <c r="D760" s="19" t="n"/>
      <c r="E760" s="19" t="n"/>
      <c r="F760" s="19" t="n"/>
      <c r="G760" s="19" t="n"/>
      <c r="H760" s="19" t="n"/>
      <c r="I760" s="19" t="n"/>
      <c r="J760" s="19" t="n"/>
      <c r="K760" s="20" t="n"/>
      <c r="L760" s="22">
        <f>IF(OR(B760="",K760=""),"",K760-B760)</f>
        <v/>
      </c>
      <c r="M760" s="19" t="n"/>
      <c r="N760" s="19" t="n"/>
      <c r="O760" s="20" t="n"/>
      <c r="P760" s="19" t="n"/>
    </row>
    <row r="761">
      <c r="A761" s="19" t="n"/>
      <c r="B761" s="20" t="n"/>
      <c r="C761" s="21">
        <f>IF(B761="","",DATE(YEAR(B761),MONTH(B761),1))</f>
        <v/>
      </c>
      <c r="D761" s="19" t="n"/>
      <c r="E761" s="19" t="n"/>
      <c r="F761" s="19" t="n"/>
      <c r="G761" s="19" t="n"/>
      <c r="H761" s="19" t="n"/>
      <c r="I761" s="19" t="n"/>
      <c r="J761" s="19" t="n"/>
      <c r="K761" s="20" t="n"/>
      <c r="L761" s="22">
        <f>IF(OR(B761="",K761=""),"",K761-B761)</f>
        <v/>
      </c>
      <c r="M761" s="19" t="n"/>
      <c r="N761" s="19" t="n"/>
      <c r="O761" s="20" t="n"/>
      <c r="P761" s="19" t="n"/>
    </row>
    <row r="762">
      <c r="A762" s="19" t="n"/>
      <c r="B762" s="20" t="n"/>
      <c r="C762" s="21">
        <f>IF(B762="","",DATE(YEAR(B762),MONTH(B762),1))</f>
        <v/>
      </c>
      <c r="D762" s="19" t="n"/>
      <c r="E762" s="19" t="n"/>
      <c r="F762" s="19" t="n"/>
      <c r="G762" s="19" t="n"/>
      <c r="H762" s="19" t="n"/>
      <c r="I762" s="19" t="n"/>
      <c r="J762" s="19" t="n"/>
      <c r="K762" s="20" t="n"/>
      <c r="L762" s="22">
        <f>IF(OR(B762="",K762=""),"",K762-B762)</f>
        <v/>
      </c>
      <c r="M762" s="19" t="n"/>
      <c r="N762" s="19" t="n"/>
      <c r="O762" s="20" t="n"/>
      <c r="P762" s="19" t="n"/>
    </row>
    <row r="763">
      <c r="A763" s="19" t="n"/>
      <c r="B763" s="20" t="n"/>
      <c r="C763" s="21">
        <f>IF(B763="","",DATE(YEAR(B763),MONTH(B763),1))</f>
        <v/>
      </c>
      <c r="D763" s="19" t="n"/>
      <c r="E763" s="19" t="n"/>
      <c r="F763" s="19" t="n"/>
      <c r="G763" s="19" t="n"/>
      <c r="H763" s="19" t="n"/>
      <c r="I763" s="19" t="n"/>
      <c r="J763" s="19" t="n"/>
      <c r="K763" s="20" t="n"/>
      <c r="L763" s="22">
        <f>IF(OR(B763="",K763=""),"",K763-B763)</f>
        <v/>
      </c>
      <c r="M763" s="19" t="n"/>
      <c r="N763" s="19" t="n"/>
      <c r="O763" s="20" t="n"/>
      <c r="P763" s="19" t="n"/>
    </row>
    <row r="764">
      <c r="A764" s="19" t="n"/>
      <c r="B764" s="20" t="n"/>
      <c r="C764" s="21">
        <f>IF(B764="","",DATE(YEAR(B764),MONTH(B764),1))</f>
        <v/>
      </c>
      <c r="D764" s="19" t="n"/>
      <c r="E764" s="19" t="n"/>
      <c r="F764" s="19" t="n"/>
      <c r="G764" s="19" t="n"/>
      <c r="H764" s="19" t="n"/>
      <c r="I764" s="19" t="n"/>
      <c r="J764" s="19" t="n"/>
      <c r="K764" s="20" t="n"/>
      <c r="L764" s="22">
        <f>IF(OR(B764="",K764=""),"",K764-B764)</f>
        <v/>
      </c>
      <c r="M764" s="19" t="n"/>
      <c r="N764" s="19" t="n"/>
      <c r="O764" s="20" t="n"/>
      <c r="P764" s="19" t="n"/>
    </row>
    <row r="765">
      <c r="A765" s="19" t="n"/>
      <c r="B765" s="20" t="n"/>
      <c r="C765" s="21">
        <f>IF(B765="","",DATE(YEAR(B765),MONTH(B765),1))</f>
        <v/>
      </c>
      <c r="D765" s="19" t="n"/>
      <c r="E765" s="19" t="n"/>
      <c r="F765" s="19" t="n"/>
      <c r="G765" s="19" t="n"/>
      <c r="H765" s="19" t="n"/>
      <c r="I765" s="19" t="n"/>
      <c r="J765" s="19" t="n"/>
      <c r="K765" s="20" t="n"/>
      <c r="L765" s="22">
        <f>IF(OR(B765="",K765=""),"",K765-B765)</f>
        <v/>
      </c>
      <c r="M765" s="19" t="n"/>
      <c r="N765" s="19" t="n"/>
      <c r="O765" s="20" t="n"/>
      <c r="P765" s="19" t="n"/>
    </row>
    <row r="766">
      <c r="A766" s="19" t="n"/>
      <c r="B766" s="20" t="n"/>
      <c r="C766" s="21">
        <f>IF(B766="","",DATE(YEAR(B766),MONTH(B766),1))</f>
        <v/>
      </c>
      <c r="D766" s="19" t="n"/>
      <c r="E766" s="19" t="n"/>
      <c r="F766" s="19" t="n"/>
      <c r="G766" s="19" t="n"/>
      <c r="H766" s="19" t="n"/>
      <c r="I766" s="19" t="n"/>
      <c r="J766" s="19" t="n"/>
      <c r="K766" s="20" t="n"/>
      <c r="L766" s="22">
        <f>IF(OR(B766="",K766=""),"",K766-B766)</f>
        <v/>
      </c>
      <c r="M766" s="19" t="n"/>
      <c r="N766" s="19" t="n"/>
      <c r="O766" s="20" t="n"/>
      <c r="P766" s="19" t="n"/>
    </row>
    <row r="767">
      <c r="A767" s="19" t="n"/>
      <c r="B767" s="20" t="n"/>
      <c r="C767" s="21">
        <f>IF(B767="","",DATE(YEAR(B767),MONTH(B767),1))</f>
        <v/>
      </c>
      <c r="D767" s="19" t="n"/>
      <c r="E767" s="19" t="n"/>
      <c r="F767" s="19" t="n"/>
      <c r="G767" s="19" t="n"/>
      <c r="H767" s="19" t="n"/>
      <c r="I767" s="19" t="n"/>
      <c r="J767" s="19" t="n"/>
      <c r="K767" s="20" t="n"/>
      <c r="L767" s="22">
        <f>IF(OR(B767="",K767=""),"",K767-B767)</f>
        <v/>
      </c>
      <c r="M767" s="19" t="n"/>
      <c r="N767" s="19" t="n"/>
      <c r="O767" s="20" t="n"/>
      <c r="P767" s="19" t="n"/>
    </row>
    <row r="768">
      <c r="A768" s="19" t="n"/>
      <c r="B768" s="20" t="n"/>
      <c r="C768" s="21">
        <f>IF(B768="","",DATE(YEAR(B768),MONTH(B768),1))</f>
        <v/>
      </c>
      <c r="D768" s="19" t="n"/>
      <c r="E768" s="19" t="n"/>
      <c r="F768" s="19" t="n"/>
      <c r="G768" s="19" t="n"/>
      <c r="H768" s="19" t="n"/>
      <c r="I768" s="19" t="n"/>
      <c r="J768" s="19" t="n"/>
      <c r="K768" s="20" t="n"/>
      <c r="L768" s="22">
        <f>IF(OR(B768="",K768=""),"",K768-B768)</f>
        <v/>
      </c>
      <c r="M768" s="19" t="n"/>
      <c r="N768" s="19" t="n"/>
      <c r="O768" s="20" t="n"/>
      <c r="P768" s="19" t="n"/>
    </row>
    <row r="769">
      <c r="A769" s="19" t="n"/>
      <c r="B769" s="20" t="n"/>
      <c r="C769" s="21">
        <f>IF(B769="","",DATE(YEAR(B769),MONTH(B769),1))</f>
        <v/>
      </c>
      <c r="D769" s="19" t="n"/>
      <c r="E769" s="19" t="n"/>
      <c r="F769" s="19" t="n"/>
      <c r="G769" s="19" t="n"/>
      <c r="H769" s="19" t="n"/>
      <c r="I769" s="19" t="n"/>
      <c r="J769" s="19" t="n"/>
      <c r="K769" s="20" t="n"/>
      <c r="L769" s="22">
        <f>IF(OR(B769="",K769=""),"",K769-B769)</f>
        <v/>
      </c>
      <c r="M769" s="19" t="n"/>
      <c r="N769" s="19" t="n"/>
      <c r="O769" s="20" t="n"/>
      <c r="P769" s="19" t="n"/>
    </row>
    <row r="770">
      <c r="A770" s="19" t="n"/>
      <c r="B770" s="20" t="n"/>
      <c r="C770" s="21">
        <f>IF(B770="","",DATE(YEAR(B770),MONTH(B770),1))</f>
        <v/>
      </c>
      <c r="D770" s="19" t="n"/>
      <c r="E770" s="19" t="n"/>
      <c r="F770" s="19" t="n"/>
      <c r="G770" s="19" t="n"/>
      <c r="H770" s="19" t="n"/>
      <c r="I770" s="19" t="n"/>
      <c r="J770" s="19" t="n"/>
      <c r="K770" s="20" t="n"/>
      <c r="L770" s="22">
        <f>IF(OR(B770="",K770=""),"",K770-B770)</f>
        <v/>
      </c>
      <c r="M770" s="19" t="n"/>
      <c r="N770" s="19" t="n"/>
      <c r="O770" s="20" t="n"/>
      <c r="P770" s="19" t="n"/>
    </row>
    <row r="771">
      <c r="A771" s="19" t="n"/>
      <c r="B771" s="20" t="n"/>
      <c r="C771" s="21">
        <f>IF(B771="","",DATE(YEAR(B771),MONTH(B771),1))</f>
        <v/>
      </c>
      <c r="D771" s="19" t="n"/>
      <c r="E771" s="19" t="n"/>
      <c r="F771" s="19" t="n"/>
      <c r="G771" s="19" t="n"/>
      <c r="H771" s="19" t="n"/>
      <c r="I771" s="19" t="n"/>
      <c r="J771" s="19" t="n"/>
      <c r="K771" s="20" t="n"/>
      <c r="L771" s="22">
        <f>IF(OR(B771="",K771=""),"",K771-B771)</f>
        <v/>
      </c>
      <c r="M771" s="19" t="n"/>
      <c r="N771" s="19" t="n"/>
      <c r="O771" s="20" t="n"/>
      <c r="P771" s="19" t="n"/>
    </row>
    <row r="772">
      <c r="A772" s="19" t="n"/>
      <c r="B772" s="20" t="n"/>
      <c r="C772" s="21">
        <f>IF(B772="","",DATE(YEAR(B772),MONTH(B772),1))</f>
        <v/>
      </c>
      <c r="D772" s="19" t="n"/>
      <c r="E772" s="19" t="n"/>
      <c r="F772" s="19" t="n"/>
      <c r="G772" s="19" t="n"/>
      <c r="H772" s="19" t="n"/>
      <c r="I772" s="19" t="n"/>
      <c r="J772" s="19" t="n"/>
      <c r="K772" s="20" t="n"/>
      <c r="L772" s="22">
        <f>IF(OR(B772="",K772=""),"",K772-B772)</f>
        <v/>
      </c>
      <c r="M772" s="19" t="n"/>
      <c r="N772" s="19" t="n"/>
      <c r="O772" s="20" t="n"/>
      <c r="P772" s="19" t="n"/>
    </row>
    <row r="773">
      <c r="A773" s="19" t="n"/>
      <c r="B773" s="20" t="n"/>
      <c r="C773" s="21">
        <f>IF(B773="","",DATE(YEAR(B773),MONTH(B773),1))</f>
        <v/>
      </c>
      <c r="D773" s="19" t="n"/>
      <c r="E773" s="19" t="n"/>
      <c r="F773" s="19" t="n"/>
      <c r="G773" s="19" t="n"/>
      <c r="H773" s="19" t="n"/>
      <c r="I773" s="19" t="n"/>
      <c r="J773" s="19" t="n"/>
      <c r="K773" s="20" t="n"/>
      <c r="L773" s="22">
        <f>IF(OR(B773="",K773=""),"",K773-B773)</f>
        <v/>
      </c>
      <c r="M773" s="19" t="n"/>
      <c r="N773" s="19" t="n"/>
      <c r="O773" s="20" t="n"/>
      <c r="P773" s="19" t="n"/>
    </row>
    <row r="774">
      <c r="A774" s="19" t="n"/>
      <c r="B774" s="20" t="n"/>
      <c r="C774" s="21">
        <f>IF(B774="","",DATE(YEAR(B774),MONTH(B774),1))</f>
        <v/>
      </c>
      <c r="D774" s="19" t="n"/>
      <c r="E774" s="19" t="n"/>
      <c r="F774" s="19" t="n"/>
      <c r="G774" s="19" t="n"/>
      <c r="H774" s="19" t="n"/>
      <c r="I774" s="19" t="n"/>
      <c r="J774" s="19" t="n"/>
      <c r="K774" s="20" t="n"/>
      <c r="L774" s="22">
        <f>IF(OR(B774="",K774=""),"",K774-B774)</f>
        <v/>
      </c>
      <c r="M774" s="19" t="n"/>
      <c r="N774" s="19" t="n"/>
      <c r="O774" s="20" t="n"/>
      <c r="P774" s="19" t="n"/>
    </row>
    <row r="775">
      <c r="A775" s="19" t="n"/>
      <c r="B775" s="20" t="n"/>
      <c r="C775" s="21">
        <f>IF(B775="","",DATE(YEAR(B775),MONTH(B775),1))</f>
        <v/>
      </c>
      <c r="D775" s="19" t="n"/>
      <c r="E775" s="19" t="n"/>
      <c r="F775" s="19" t="n"/>
      <c r="G775" s="19" t="n"/>
      <c r="H775" s="19" t="n"/>
      <c r="I775" s="19" t="n"/>
      <c r="J775" s="19" t="n"/>
      <c r="K775" s="20" t="n"/>
      <c r="L775" s="22">
        <f>IF(OR(B775="",K775=""),"",K775-B775)</f>
        <v/>
      </c>
      <c r="M775" s="19" t="n"/>
      <c r="N775" s="19" t="n"/>
      <c r="O775" s="20" t="n"/>
      <c r="P775" s="19" t="n"/>
    </row>
    <row r="776">
      <c r="A776" s="19" t="n"/>
      <c r="B776" s="20" t="n"/>
      <c r="C776" s="21">
        <f>IF(B776="","",DATE(YEAR(B776),MONTH(B776),1))</f>
        <v/>
      </c>
      <c r="D776" s="19" t="n"/>
      <c r="E776" s="19" t="n"/>
      <c r="F776" s="19" t="n"/>
      <c r="G776" s="19" t="n"/>
      <c r="H776" s="19" t="n"/>
      <c r="I776" s="19" t="n"/>
      <c r="J776" s="19" t="n"/>
      <c r="K776" s="20" t="n"/>
      <c r="L776" s="22">
        <f>IF(OR(B776="",K776=""),"",K776-B776)</f>
        <v/>
      </c>
      <c r="M776" s="19" t="n"/>
      <c r="N776" s="19" t="n"/>
      <c r="O776" s="20" t="n"/>
      <c r="P776" s="19" t="n"/>
    </row>
    <row r="777">
      <c r="A777" s="19" t="n"/>
      <c r="B777" s="20" t="n"/>
      <c r="C777" s="21">
        <f>IF(B777="","",DATE(YEAR(B777),MONTH(B777),1))</f>
        <v/>
      </c>
      <c r="D777" s="19" t="n"/>
      <c r="E777" s="19" t="n"/>
      <c r="F777" s="19" t="n"/>
      <c r="G777" s="19" t="n"/>
      <c r="H777" s="19" t="n"/>
      <c r="I777" s="19" t="n"/>
      <c r="J777" s="19" t="n"/>
      <c r="K777" s="20" t="n"/>
      <c r="L777" s="22">
        <f>IF(OR(B777="",K777=""),"",K777-B777)</f>
        <v/>
      </c>
      <c r="M777" s="19" t="n"/>
      <c r="N777" s="19" t="n"/>
      <c r="O777" s="20" t="n"/>
      <c r="P777" s="19" t="n"/>
    </row>
    <row r="778">
      <c r="A778" s="19" t="n"/>
      <c r="B778" s="20" t="n"/>
      <c r="C778" s="21">
        <f>IF(B778="","",DATE(YEAR(B778),MONTH(B778),1))</f>
        <v/>
      </c>
      <c r="D778" s="19" t="n"/>
      <c r="E778" s="19" t="n"/>
      <c r="F778" s="19" t="n"/>
      <c r="G778" s="19" t="n"/>
      <c r="H778" s="19" t="n"/>
      <c r="I778" s="19" t="n"/>
      <c r="J778" s="19" t="n"/>
      <c r="K778" s="20" t="n"/>
      <c r="L778" s="22">
        <f>IF(OR(B778="",K778=""),"",K778-B778)</f>
        <v/>
      </c>
      <c r="M778" s="19" t="n"/>
      <c r="N778" s="19" t="n"/>
      <c r="O778" s="20" t="n"/>
      <c r="P778" s="19" t="n"/>
    </row>
    <row r="779">
      <c r="A779" s="19" t="n"/>
      <c r="B779" s="20" t="n"/>
      <c r="C779" s="21">
        <f>IF(B779="","",DATE(YEAR(B779),MONTH(B779),1))</f>
        <v/>
      </c>
      <c r="D779" s="19" t="n"/>
      <c r="E779" s="19" t="n"/>
      <c r="F779" s="19" t="n"/>
      <c r="G779" s="19" t="n"/>
      <c r="H779" s="19" t="n"/>
      <c r="I779" s="19" t="n"/>
      <c r="J779" s="19" t="n"/>
      <c r="K779" s="20" t="n"/>
      <c r="L779" s="22">
        <f>IF(OR(B779="",K779=""),"",K779-B779)</f>
        <v/>
      </c>
      <c r="M779" s="19" t="n"/>
      <c r="N779" s="19" t="n"/>
      <c r="O779" s="20" t="n"/>
      <c r="P779" s="19" t="n"/>
    </row>
    <row r="780">
      <c r="A780" s="19" t="n"/>
      <c r="B780" s="20" t="n"/>
      <c r="C780" s="21">
        <f>IF(B780="","",DATE(YEAR(B780),MONTH(B780),1))</f>
        <v/>
      </c>
      <c r="D780" s="19" t="n"/>
      <c r="E780" s="19" t="n"/>
      <c r="F780" s="19" t="n"/>
      <c r="G780" s="19" t="n"/>
      <c r="H780" s="19" t="n"/>
      <c r="I780" s="19" t="n"/>
      <c r="J780" s="19" t="n"/>
      <c r="K780" s="20" t="n"/>
      <c r="L780" s="22">
        <f>IF(OR(B780="",K780=""),"",K780-B780)</f>
        <v/>
      </c>
      <c r="M780" s="19" t="n"/>
      <c r="N780" s="19" t="n"/>
      <c r="O780" s="20" t="n"/>
      <c r="P780" s="19" t="n"/>
    </row>
    <row r="781">
      <c r="A781" s="19" t="n"/>
      <c r="B781" s="20" t="n"/>
      <c r="C781" s="21">
        <f>IF(B781="","",DATE(YEAR(B781),MONTH(B781),1))</f>
        <v/>
      </c>
      <c r="D781" s="19" t="n"/>
      <c r="E781" s="19" t="n"/>
      <c r="F781" s="19" t="n"/>
      <c r="G781" s="19" t="n"/>
      <c r="H781" s="19" t="n"/>
      <c r="I781" s="19" t="n"/>
      <c r="J781" s="19" t="n"/>
      <c r="K781" s="20" t="n"/>
      <c r="L781" s="22">
        <f>IF(OR(B781="",K781=""),"",K781-B781)</f>
        <v/>
      </c>
      <c r="M781" s="19" t="n"/>
      <c r="N781" s="19" t="n"/>
      <c r="O781" s="20" t="n"/>
      <c r="P781" s="19" t="n"/>
    </row>
    <row r="782">
      <c r="A782" s="19" t="n"/>
      <c r="B782" s="20" t="n"/>
      <c r="C782" s="21">
        <f>IF(B782="","",DATE(YEAR(B782),MONTH(B782),1))</f>
        <v/>
      </c>
      <c r="D782" s="19" t="n"/>
      <c r="E782" s="19" t="n"/>
      <c r="F782" s="19" t="n"/>
      <c r="G782" s="19" t="n"/>
      <c r="H782" s="19" t="n"/>
      <c r="I782" s="19" t="n"/>
      <c r="J782" s="19" t="n"/>
      <c r="K782" s="20" t="n"/>
      <c r="L782" s="22">
        <f>IF(OR(B782="",K782=""),"",K782-B782)</f>
        <v/>
      </c>
      <c r="M782" s="19" t="n"/>
      <c r="N782" s="19" t="n"/>
      <c r="O782" s="20" t="n"/>
      <c r="P782" s="19" t="n"/>
    </row>
    <row r="783">
      <c r="A783" s="19" t="n"/>
      <c r="B783" s="20" t="n"/>
      <c r="C783" s="21">
        <f>IF(B783="","",DATE(YEAR(B783),MONTH(B783),1))</f>
        <v/>
      </c>
      <c r="D783" s="19" t="n"/>
      <c r="E783" s="19" t="n"/>
      <c r="F783" s="19" t="n"/>
      <c r="G783" s="19" t="n"/>
      <c r="H783" s="19" t="n"/>
      <c r="I783" s="19" t="n"/>
      <c r="J783" s="19" t="n"/>
      <c r="K783" s="20" t="n"/>
      <c r="L783" s="22">
        <f>IF(OR(B783="",K783=""),"",K783-B783)</f>
        <v/>
      </c>
      <c r="M783" s="19" t="n"/>
      <c r="N783" s="19" t="n"/>
      <c r="O783" s="20" t="n"/>
      <c r="P783" s="19" t="n"/>
    </row>
    <row r="784">
      <c r="A784" s="19" t="n"/>
      <c r="B784" s="20" t="n"/>
      <c r="C784" s="21">
        <f>IF(B784="","",DATE(YEAR(B784),MONTH(B784),1))</f>
        <v/>
      </c>
      <c r="D784" s="19" t="n"/>
      <c r="E784" s="19" t="n"/>
      <c r="F784" s="19" t="n"/>
      <c r="G784" s="19" t="n"/>
      <c r="H784" s="19" t="n"/>
      <c r="I784" s="19" t="n"/>
      <c r="J784" s="19" t="n"/>
      <c r="K784" s="20" t="n"/>
      <c r="L784" s="22">
        <f>IF(OR(B784="",K784=""),"",K784-B784)</f>
        <v/>
      </c>
      <c r="M784" s="19" t="n"/>
      <c r="N784" s="19" t="n"/>
      <c r="O784" s="20" t="n"/>
      <c r="P784" s="19" t="n"/>
    </row>
    <row r="785">
      <c r="A785" s="19" t="n"/>
      <c r="B785" s="20" t="n"/>
      <c r="C785" s="21">
        <f>IF(B785="","",DATE(YEAR(B785),MONTH(B785),1))</f>
        <v/>
      </c>
      <c r="D785" s="19" t="n"/>
      <c r="E785" s="19" t="n"/>
      <c r="F785" s="19" t="n"/>
      <c r="G785" s="19" t="n"/>
      <c r="H785" s="19" t="n"/>
      <c r="I785" s="19" t="n"/>
      <c r="J785" s="19" t="n"/>
      <c r="K785" s="20" t="n"/>
      <c r="L785" s="22">
        <f>IF(OR(B785="",K785=""),"",K785-B785)</f>
        <v/>
      </c>
      <c r="M785" s="19" t="n"/>
      <c r="N785" s="19" t="n"/>
      <c r="O785" s="20" t="n"/>
      <c r="P785" s="19" t="n"/>
    </row>
    <row r="786">
      <c r="A786" s="19" t="n"/>
      <c r="B786" s="20" t="n"/>
      <c r="C786" s="21">
        <f>IF(B786="","",DATE(YEAR(B786),MONTH(B786),1))</f>
        <v/>
      </c>
      <c r="D786" s="19" t="n"/>
      <c r="E786" s="19" t="n"/>
      <c r="F786" s="19" t="n"/>
      <c r="G786" s="19" t="n"/>
      <c r="H786" s="19" t="n"/>
      <c r="I786" s="19" t="n"/>
      <c r="J786" s="19" t="n"/>
      <c r="K786" s="20" t="n"/>
      <c r="L786" s="22">
        <f>IF(OR(B786="",K786=""),"",K786-B786)</f>
        <v/>
      </c>
      <c r="M786" s="19" t="n"/>
      <c r="N786" s="19" t="n"/>
      <c r="O786" s="20" t="n"/>
      <c r="P786" s="19" t="n"/>
    </row>
    <row r="787">
      <c r="A787" s="19" t="n"/>
      <c r="B787" s="20" t="n"/>
      <c r="C787" s="21">
        <f>IF(B787="","",DATE(YEAR(B787),MONTH(B787),1))</f>
        <v/>
      </c>
      <c r="D787" s="19" t="n"/>
      <c r="E787" s="19" t="n"/>
      <c r="F787" s="19" t="n"/>
      <c r="G787" s="19" t="n"/>
      <c r="H787" s="19" t="n"/>
      <c r="I787" s="19" t="n"/>
      <c r="J787" s="19" t="n"/>
      <c r="K787" s="20" t="n"/>
      <c r="L787" s="22">
        <f>IF(OR(B787="",K787=""),"",K787-B787)</f>
        <v/>
      </c>
      <c r="M787" s="19" t="n"/>
      <c r="N787" s="19" t="n"/>
      <c r="O787" s="20" t="n"/>
      <c r="P787" s="19" t="n"/>
    </row>
    <row r="788">
      <c r="A788" s="19" t="n"/>
      <c r="B788" s="20" t="n"/>
      <c r="C788" s="21">
        <f>IF(B788="","",DATE(YEAR(B788),MONTH(B788),1))</f>
        <v/>
      </c>
      <c r="D788" s="19" t="n"/>
      <c r="E788" s="19" t="n"/>
      <c r="F788" s="19" t="n"/>
      <c r="G788" s="19" t="n"/>
      <c r="H788" s="19" t="n"/>
      <c r="I788" s="19" t="n"/>
      <c r="J788" s="19" t="n"/>
      <c r="K788" s="20" t="n"/>
      <c r="L788" s="22">
        <f>IF(OR(B788="",K788=""),"",K788-B788)</f>
        <v/>
      </c>
      <c r="M788" s="19" t="n"/>
      <c r="N788" s="19" t="n"/>
      <c r="O788" s="20" t="n"/>
      <c r="P788" s="19" t="n"/>
    </row>
    <row r="789">
      <c r="A789" s="19" t="n"/>
      <c r="B789" s="20" t="n"/>
      <c r="C789" s="21">
        <f>IF(B789="","",DATE(YEAR(B789),MONTH(B789),1))</f>
        <v/>
      </c>
      <c r="D789" s="19" t="n"/>
      <c r="E789" s="19" t="n"/>
      <c r="F789" s="19" t="n"/>
      <c r="G789" s="19" t="n"/>
      <c r="H789" s="19" t="n"/>
      <c r="I789" s="19" t="n"/>
      <c r="J789" s="19" t="n"/>
      <c r="K789" s="20" t="n"/>
      <c r="L789" s="22">
        <f>IF(OR(B789="",K789=""),"",K789-B789)</f>
        <v/>
      </c>
      <c r="M789" s="19" t="n"/>
      <c r="N789" s="19" t="n"/>
      <c r="O789" s="20" t="n"/>
      <c r="P789" s="19" t="n"/>
    </row>
    <row r="790">
      <c r="A790" s="19" t="n"/>
      <c r="B790" s="20" t="n"/>
      <c r="C790" s="21">
        <f>IF(B790="","",DATE(YEAR(B790),MONTH(B790),1))</f>
        <v/>
      </c>
      <c r="D790" s="19" t="n"/>
      <c r="E790" s="19" t="n"/>
      <c r="F790" s="19" t="n"/>
      <c r="G790" s="19" t="n"/>
      <c r="H790" s="19" t="n"/>
      <c r="I790" s="19" t="n"/>
      <c r="J790" s="19" t="n"/>
      <c r="K790" s="20" t="n"/>
      <c r="L790" s="22">
        <f>IF(OR(B790="",K790=""),"",K790-B790)</f>
        <v/>
      </c>
      <c r="M790" s="19" t="n"/>
      <c r="N790" s="19" t="n"/>
      <c r="O790" s="20" t="n"/>
      <c r="P790" s="19" t="n"/>
    </row>
    <row r="791">
      <c r="A791" s="19" t="n"/>
      <c r="B791" s="20" t="n"/>
      <c r="C791" s="21">
        <f>IF(B791="","",DATE(YEAR(B791),MONTH(B791),1))</f>
        <v/>
      </c>
      <c r="D791" s="19" t="n"/>
      <c r="E791" s="19" t="n"/>
      <c r="F791" s="19" t="n"/>
      <c r="G791" s="19" t="n"/>
      <c r="H791" s="19" t="n"/>
      <c r="I791" s="19" t="n"/>
      <c r="J791" s="19" t="n"/>
      <c r="K791" s="20" t="n"/>
      <c r="L791" s="22">
        <f>IF(OR(B791="",K791=""),"",K791-B791)</f>
        <v/>
      </c>
      <c r="M791" s="19" t="n"/>
      <c r="N791" s="19" t="n"/>
      <c r="O791" s="20" t="n"/>
      <c r="P791" s="19" t="n"/>
    </row>
    <row r="792">
      <c r="A792" s="19" t="n"/>
      <c r="B792" s="20" t="n"/>
      <c r="C792" s="21">
        <f>IF(B792="","",DATE(YEAR(B792),MONTH(B792),1))</f>
        <v/>
      </c>
      <c r="D792" s="19" t="n"/>
      <c r="E792" s="19" t="n"/>
      <c r="F792" s="19" t="n"/>
      <c r="G792" s="19" t="n"/>
      <c r="H792" s="19" t="n"/>
      <c r="I792" s="19" t="n"/>
      <c r="J792" s="19" t="n"/>
      <c r="K792" s="20" t="n"/>
      <c r="L792" s="22">
        <f>IF(OR(B792="",K792=""),"",K792-B792)</f>
        <v/>
      </c>
      <c r="M792" s="19" t="n"/>
      <c r="N792" s="19" t="n"/>
      <c r="O792" s="20" t="n"/>
      <c r="P792" s="19" t="n"/>
    </row>
    <row r="793">
      <c r="A793" s="19" t="n"/>
      <c r="B793" s="20" t="n"/>
      <c r="C793" s="21">
        <f>IF(B793="","",DATE(YEAR(B793),MONTH(B793),1))</f>
        <v/>
      </c>
      <c r="D793" s="19" t="n"/>
      <c r="E793" s="19" t="n"/>
      <c r="F793" s="19" t="n"/>
      <c r="G793" s="19" t="n"/>
      <c r="H793" s="19" t="n"/>
      <c r="I793" s="19" t="n"/>
      <c r="J793" s="19" t="n"/>
      <c r="K793" s="20" t="n"/>
      <c r="L793" s="22">
        <f>IF(OR(B793="",K793=""),"",K793-B793)</f>
        <v/>
      </c>
      <c r="M793" s="19" t="n"/>
      <c r="N793" s="19" t="n"/>
      <c r="O793" s="20" t="n"/>
      <c r="P793" s="19" t="n"/>
    </row>
    <row r="794">
      <c r="A794" s="19" t="n"/>
      <c r="B794" s="20" t="n"/>
      <c r="C794" s="21">
        <f>IF(B794="","",DATE(YEAR(B794),MONTH(B794),1))</f>
        <v/>
      </c>
      <c r="D794" s="19" t="n"/>
      <c r="E794" s="19" t="n"/>
      <c r="F794" s="19" t="n"/>
      <c r="G794" s="19" t="n"/>
      <c r="H794" s="19" t="n"/>
      <c r="I794" s="19" t="n"/>
      <c r="J794" s="19" t="n"/>
      <c r="K794" s="20" t="n"/>
      <c r="L794" s="22">
        <f>IF(OR(B794="",K794=""),"",K794-B794)</f>
        <v/>
      </c>
      <c r="M794" s="19" t="n"/>
      <c r="N794" s="19" t="n"/>
      <c r="O794" s="20" t="n"/>
      <c r="P794" s="19" t="n"/>
    </row>
    <row r="795">
      <c r="A795" s="19" t="n"/>
      <c r="B795" s="20" t="n"/>
      <c r="C795" s="21">
        <f>IF(B795="","",DATE(YEAR(B795),MONTH(B795),1))</f>
        <v/>
      </c>
      <c r="D795" s="19" t="n"/>
      <c r="E795" s="19" t="n"/>
      <c r="F795" s="19" t="n"/>
      <c r="G795" s="19" t="n"/>
      <c r="H795" s="19" t="n"/>
      <c r="I795" s="19" t="n"/>
      <c r="J795" s="19" t="n"/>
      <c r="K795" s="20" t="n"/>
      <c r="L795" s="22">
        <f>IF(OR(B795="",K795=""),"",K795-B795)</f>
        <v/>
      </c>
      <c r="M795" s="19" t="n"/>
      <c r="N795" s="19" t="n"/>
      <c r="O795" s="20" t="n"/>
      <c r="P795" s="19" t="n"/>
    </row>
    <row r="796">
      <c r="A796" s="19" t="n"/>
      <c r="B796" s="20" t="n"/>
      <c r="C796" s="21">
        <f>IF(B796="","",DATE(YEAR(B796),MONTH(B796),1))</f>
        <v/>
      </c>
      <c r="D796" s="19" t="n"/>
      <c r="E796" s="19" t="n"/>
      <c r="F796" s="19" t="n"/>
      <c r="G796" s="19" t="n"/>
      <c r="H796" s="19" t="n"/>
      <c r="I796" s="19" t="n"/>
      <c r="J796" s="19" t="n"/>
      <c r="K796" s="20" t="n"/>
      <c r="L796" s="22">
        <f>IF(OR(B796="",K796=""),"",K796-B796)</f>
        <v/>
      </c>
      <c r="M796" s="19" t="n"/>
      <c r="N796" s="19" t="n"/>
      <c r="O796" s="20" t="n"/>
      <c r="P796" s="19" t="n"/>
    </row>
    <row r="797">
      <c r="A797" s="19" t="n"/>
      <c r="B797" s="20" t="n"/>
      <c r="C797" s="21">
        <f>IF(B797="","",DATE(YEAR(B797),MONTH(B797),1))</f>
        <v/>
      </c>
      <c r="D797" s="19" t="n"/>
      <c r="E797" s="19" t="n"/>
      <c r="F797" s="19" t="n"/>
      <c r="G797" s="19" t="n"/>
      <c r="H797" s="19" t="n"/>
      <c r="I797" s="19" t="n"/>
      <c r="J797" s="19" t="n"/>
      <c r="K797" s="20" t="n"/>
      <c r="L797" s="22">
        <f>IF(OR(B797="",K797=""),"",K797-B797)</f>
        <v/>
      </c>
      <c r="M797" s="19" t="n"/>
      <c r="N797" s="19" t="n"/>
      <c r="O797" s="20" t="n"/>
      <c r="P797" s="19" t="n"/>
    </row>
    <row r="798">
      <c r="A798" s="19" t="n"/>
      <c r="B798" s="20" t="n"/>
      <c r="C798" s="21">
        <f>IF(B798="","",DATE(YEAR(B798),MONTH(B798),1))</f>
        <v/>
      </c>
      <c r="D798" s="19" t="n"/>
      <c r="E798" s="19" t="n"/>
      <c r="F798" s="19" t="n"/>
      <c r="G798" s="19" t="n"/>
      <c r="H798" s="19" t="n"/>
      <c r="I798" s="19" t="n"/>
      <c r="J798" s="19" t="n"/>
      <c r="K798" s="20" t="n"/>
      <c r="L798" s="22">
        <f>IF(OR(B798="",K798=""),"",K798-B798)</f>
        <v/>
      </c>
      <c r="M798" s="19" t="n"/>
      <c r="N798" s="19" t="n"/>
      <c r="O798" s="20" t="n"/>
      <c r="P798" s="19" t="n"/>
    </row>
    <row r="799">
      <c r="A799" s="19" t="n"/>
      <c r="B799" s="20" t="n"/>
      <c r="C799" s="21">
        <f>IF(B799="","",DATE(YEAR(B799),MONTH(B799),1))</f>
        <v/>
      </c>
      <c r="D799" s="19" t="n"/>
      <c r="E799" s="19" t="n"/>
      <c r="F799" s="19" t="n"/>
      <c r="G799" s="19" t="n"/>
      <c r="H799" s="19" t="n"/>
      <c r="I799" s="19" t="n"/>
      <c r="J799" s="19" t="n"/>
      <c r="K799" s="20" t="n"/>
      <c r="L799" s="22">
        <f>IF(OR(B799="",K799=""),"",K799-B799)</f>
        <v/>
      </c>
      <c r="M799" s="19" t="n"/>
      <c r="N799" s="19" t="n"/>
      <c r="O799" s="20" t="n"/>
      <c r="P799" s="19" t="n"/>
    </row>
    <row r="800">
      <c r="A800" s="19" t="n"/>
      <c r="B800" s="20" t="n"/>
      <c r="C800" s="21">
        <f>IF(B800="","",DATE(YEAR(B800),MONTH(B800),1))</f>
        <v/>
      </c>
      <c r="D800" s="19" t="n"/>
      <c r="E800" s="19" t="n"/>
      <c r="F800" s="19" t="n"/>
      <c r="G800" s="19" t="n"/>
      <c r="H800" s="19" t="n"/>
      <c r="I800" s="19" t="n"/>
      <c r="J800" s="19" t="n"/>
      <c r="K800" s="20" t="n"/>
      <c r="L800" s="22">
        <f>IF(OR(B800="",K800=""),"",K800-B800)</f>
        <v/>
      </c>
      <c r="M800" s="19" t="n"/>
      <c r="N800" s="19" t="n"/>
      <c r="O800" s="20" t="n"/>
      <c r="P800" s="19" t="n"/>
    </row>
    <row r="801">
      <c r="A801" s="19" t="n"/>
      <c r="B801" s="20" t="n"/>
      <c r="C801" s="21">
        <f>IF(B801="","",DATE(YEAR(B801),MONTH(B801),1))</f>
        <v/>
      </c>
      <c r="D801" s="19" t="n"/>
      <c r="E801" s="19" t="n"/>
      <c r="F801" s="19" t="n"/>
      <c r="G801" s="19" t="n"/>
      <c r="H801" s="19" t="n"/>
      <c r="I801" s="19" t="n"/>
      <c r="J801" s="19" t="n"/>
      <c r="K801" s="20" t="n"/>
      <c r="L801" s="22">
        <f>IF(OR(B801="",K801=""),"",K801-B801)</f>
        <v/>
      </c>
      <c r="M801" s="19" t="n"/>
      <c r="N801" s="19" t="n"/>
      <c r="O801" s="20" t="n"/>
      <c r="P801" s="19" t="n"/>
    </row>
    <row r="802">
      <c r="A802" s="19" t="n"/>
      <c r="B802" s="20" t="n"/>
      <c r="C802" s="21">
        <f>IF(B802="","",DATE(YEAR(B802),MONTH(B802),1))</f>
        <v/>
      </c>
      <c r="D802" s="19" t="n"/>
      <c r="E802" s="19" t="n"/>
      <c r="F802" s="19" t="n"/>
      <c r="G802" s="19" t="n"/>
      <c r="H802" s="19" t="n"/>
      <c r="I802" s="19" t="n"/>
      <c r="J802" s="19" t="n"/>
      <c r="K802" s="20" t="n"/>
      <c r="L802" s="22">
        <f>IF(OR(B802="",K802=""),"",K802-B802)</f>
        <v/>
      </c>
      <c r="M802" s="19" t="n"/>
      <c r="N802" s="19" t="n"/>
      <c r="O802" s="20" t="n"/>
      <c r="P802" s="19" t="n"/>
    </row>
    <row r="803">
      <c r="A803" s="19" t="n"/>
      <c r="B803" s="20" t="n"/>
      <c r="C803" s="21">
        <f>IF(B803="","",DATE(YEAR(B803),MONTH(B803),1))</f>
        <v/>
      </c>
      <c r="D803" s="19" t="n"/>
      <c r="E803" s="19" t="n"/>
      <c r="F803" s="19" t="n"/>
      <c r="G803" s="19" t="n"/>
      <c r="H803" s="19" t="n"/>
      <c r="I803" s="19" t="n"/>
      <c r="J803" s="19" t="n"/>
      <c r="K803" s="20" t="n"/>
      <c r="L803" s="22">
        <f>IF(OR(B803="",K803=""),"",K803-B803)</f>
        <v/>
      </c>
      <c r="M803" s="19" t="n"/>
      <c r="N803" s="19" t="n"/>
      <c r="O803" s="20" t="n"/>
      <c r="P803" s="19" t="n"/>
    </row>
    <row r="804">
      <c r="A804" s="19" t="n"/>
      <c r="B804" s="20" t="n"/>
      <c r="C804" s="21">
        <f>IF(B804="","",DATE(YEAR(B804),MONTH(B804),1))</f>
        <v/>
      </c>
      <c r="D804" s="19" t="n"/>
      <c r="E804" s="19" t="n"/>
      <c r="F804" s="19" t="n"/>
      <c r="G804" s="19" t="n"/>
      <c r="H804" s="19" t="n"/>
      <c r="I804" s="19" t="n"/>
      <c r="J804" s="19" t="n"/>
      <c r="K804" s="20" t="n"/>
      <c r="L804" s="22">
        <f>IF(OR(B804="",K804=""),"",K804-B804)</f>
        <v/>
      </c>
      <c r="M804" s="19" t="n"/>
      <c r="N804" s="19" t="n"/>
      <c r="O804" s="20" t="n"/>
      <c r="P804" s="19" t="n"/>
    </row>
    <row r="805">
      <c r="A805" s="19" t="n"/>
      <c r="B805" s="20" t="n"/>
      <c r="C805" s="21">
        <f>IF(B805="","",DATE(YEAR(B805),MONTH(B805),1))</f>
        <v/>
      </c>
      <c r="D805" s="19" t="n"/>
      <c r="E805" s="19" t="n"/>
      <c r="F805" s="19" t="n"/>
      <c r="G805" s="19" t="n"/>
      <c r="H805" s="19" t="n"/>
      <c r="I805" s="19" t="n"/>
      <c r="J805" s="19" t="n"/>
      <c r="K805" s="20" t="n"/>
      <c r="L805" s="22">
        <f>IF(OR(B805="",K805=""),"",K805-B805)</f>
        <v/>
      </c>
      <c r="M805" s="19" t="n"/>
      <c r="N805" s="19" t="n"/>
      <c r="O805" s="20" t="n"/>
      <c r="P805" s="19" t="n"/>
    </row>
    <row r="806">
      <c r="A806" s="19" t="n"/>
      <c r="B806" s="20" t="n"/>
      <c r="C806" s="21">
        <f>IF(B806="","",DATE(YEAR(B806),MONTH(B806),1))</f>
        <v/>
      </c>
      <c r="D806" s="19" t="n"/>
      <c r="E806" s="19" t="n"/>
      <c r="F806" s="19" t="n"/>
      <c r="G806" s="19" t="n"/>
      <c r="H806" s="19" t="n"/>
      <c r="I806" s="19" t="n"/>
      <c r="J806" s="19" t="n"/>
      <c r="K806" s="20" t="n"/>
      <c r="L806" s="22">
        <f>IF(OR(B806="",K806=""),"",K806-B806)</f>
        <v/>
      </c>
      <c r="M806" s="19" t="n"/>
      <c r="N806" s="19" t="n"/>
      <c r="O806" s="20" t="n"/>
      <c r="P806" s="19" t="n"/>
    </row>
    <row r="807">
      <c r="A807" s="19" t="n"/>
      <c r="B807" s="20" t="n"/>
      <c r="C807" s="21">
        <f>IF(B807="","",DATE(YEAR(B807),MONTH(B807),1))</f>
        <v/>
      </c>
      <c r="D807" s="19" t="n"/>
      <c r="E807" s="19" t="n"/>
      <c r="F807" s="19" t="n"/>
      <c r="G807" s="19" t="n"/>
      <c r="H807" s="19" t="n"/>
      <c r="I807" s="19" t="n"/>
      <c r="J807" s="19" t="n"/>
      <c r="K807" s="20" t="n"/>
      <c r="L807" s="22">
        <f>IF(OR(B807="",K807=""),"",K807-B807)</f>
        <v/>
      </c>
      <c r="M807" s="19" t="n"/>
      <c r="N807" s="19" t="n"/>
      <c r="O807" s="20" t="n"/>
      <c r="P807" s="19" t="n"/>
    </row>
    <row r="808">
      <c r="A808" s="19" t="n"/>
      <c r="B808" s="20" t="n"/>
      <c r="C808" s="21">
        <f>IF(B808="","",DATE(YEAR(B808),MONTH(B808),1))</f>
        <v/>
      </c>
      <c r="D808" s="19" t="n"/>
      <c r="E808" s="19" t="n"/>
      <c r="F808" s="19" t="n"/>
      <c r="G808" s="19" t="n"/>
      <c r="H808" s="19" t="n"/>
      <c r="I808" s="19" t="n"/>
      <c r="J808" s="19" t="n"/>
      <c r="K808" s="20" t="n"/>
      <c r="L808" s="22">
        <f>IF(OR(B808="",K808=""),"",K808-B808)</f>
        <v/>
      </c>
      <c r="M808" s="19" t="n"/>
      <c r="N808" s="19" t="n"/>
      <c r="O808" s="20" t="n"/>
      <c r="P808" s="19" t="n"/>
    </row>
    <row r="809">
      <c r="A809" s="19" t="n"/>
      <c r="B809" s="20" t="n"/>
      <c r="C809" s="21">
        <f>IF(B809="","",DATE(YEAR(B809),MONTH(B809),1))</f>
        <v/>
      </c>
      <c r="D809" s="19" t="n"/>
      <c r="E809" s="19" t="n"/>
      <c r="F809" s="19" t="n"/>
      <c r="G809" s="19" t="n"/>
      <c r="H809" s="19" t="n"/>
      <c r="I809" s="19" t="n"/>
      <c r="J809" s="19" t="n"/>
      <c r="K809" s="20" t="n"/>
      <c r="L809" s="22">
        <f>IF(OR(B809="",K809=""),"",K809-B809)</f>
        <v/>
      </c>
      <c r="M809" s="19" t="n"/>
      <c r="N809" s="19" t="n"/>
      <c r="O809" s="20" t="n"/>
      <c r="P809" s="19" t="n"/>
    </row>
    <row r="810">
      <c r="A810" s="19" t="n"/>
      <c r="B810" s="20" t="n"/>
      <c r="C810" s="21">
        <f>IF(B810="","",DATE(YEAR(B810),MONTH(B810),1))</f>
        <v/>
      </c>
      <c r="D810" s="19" t="n"/>
      <c r="E810" s="19" t="n"/>
      <c r="F810" s="19" t="n"/>
      <c r="G810" s="19" t="n"/>
      <c r="H810" s="19" t="n"/>
      <c r="I810" s="19" t="n"/>
      <c r="J810" s="19" t="n"/>
      <c r="K810" s="20" t="n"/>
      <c r="L810" s="22">
        <f>IF(OR(B810="",K810=""),"",K810-B810)</f>
        <v/>
      </c>
      <c r="M810" s="19" t="n"/>
      <c r="N810" s="19" t="n"/>
      <c r="O810" s="20" t="n"/>
      <c r="P810" s="19" t="n"/>
    </row>
    <row r="811">
      <c r="A811" s="19" t="n"/>
      <c r="B811" s="20" t="n"/>
      <c r="C811" s="21">
        <f>IF(B811="","",DATE(YEAR(B811),MONTH(B811),1))</f>
        <v/>
      </c>
      <c r="D811" s="19" t="n"/>
      <c r="E811" s="19" t="n"/>
      <c r="F811" s="19" t="n"/>
      <c r="G811" s="19" t="n"/>
      <c r="H811" s="19" t="n"/>
      <c r="I811" s="19" t="n"/>
      <c r="J811" s="19" t="n"/>
      <c r="K811" s="20" t="n"/>
      <c r="L811" s="22">
        <f>IF(OR(B811="",K811=""),"",K811-B811)</f>
        <v/>
      </c>
      <c r="M811" s="19" t="n"/>
      <c r="N811" s="19" t="n"/>
      <c r="O811" s="20" t="n"/>
      <c r="P811" s="19" t="n"/>
    </row>
    <row r="812">
      <c r="A812" s="19" t="n"/>
      <c r="B812" s="20" t="n"/>
      <c r="C812" s="21">
        <f>IF(B812="","",DATE(YEAR(B812),MONTH(B812),1))</f>
        <v/>
      </c>
      <c r="D812" s="19" t="n"/>
      <c r="E812" s="19" t="n"/>
      <c r="F812" s="19" t="n"/>
      <c r="G812" s="19" t="n"/>
      <c r="H812" s="19" t="n"/>
      <c r="I812" s="19" t="n"/>
      <c r="J812" s="19" t="n"/>
      <c r="K812" s="20" t="n"/>
      <c r="L812" s="22">
        <f>IF(OR(B812="",K812=""),"",K812-B812)</f>
        <v/>
      </c>
      <c r="M812" s="19" t="n"/>
      <c r="N812" s="19" t="n"/>
      <c r="O812" s="20" t="n"/>
      <c r="P812" s="19" t="n"/>
    </row>
    <row r="813">
      <c r="A813" s="19" t="n"/>
      <c r="B813" s="20" t="n"/>
      <c r="C813" s="21">
        <f>IF(B813="","",DATE(YEAR(B813),MONTH(B813),1))</f>
        <v/>
      </c>
      <c r="D813" s="19" t="n"/>
      <c r="E813" s="19" t="n"/>
      <c r="F813" s="19" t="n"/>
      <c r="G813" s="19" t="n"/>
      <c r="H813" s="19" t="n"/>
      <c r="I813" s="19" t="n"/>
      <c r="J813" s="19" t="n"/>
      <c r="K813" s="20" t="n"/>
      <c r="L813" s="22">
        <f>IF(OR(B813="",K813=""),"",K813-B813)</f>
        <v/>
      </c>
      <c r="M813" s="19" t="n"/>
      <c r="N813" s="19" t="n"/>
      <c r="O813" s="20" t="n"/>
      <c r="P813" s="19" t="n"/>
    </row>
    <row r="814">
      <c r="A814" s="19" t="n"/>
      <c r="B814" s="20" t="n"/>
      <c r="C814" s="21">
        <f>IF(B814="","",DATE(YEAR(B814),MONTH(B814),1))</f>
        <v/>
      </c>
      <c r="D814" s="19" t="n"/>
      <c r="E814" s="19" t="n"/>
      <c r="F814" s="19" t="n"/>
      <c r="G814" s="19" t="n"/>
      <c r="H814" s="19" t="n"/>
      <c r="I814" s="19" t="n"/>
      <c r="J814" s="19" t="n"/>
      <c r="K814" s="20" t="n"/>
      <c r="L814" s="22">
        <f>IF(OR(B814="",K814=""),"",K814-B814)</f>
        <v/>
      </c>
      <c r="M814" s="19" t="n"/>
      <c r="N814" s="19" t="n"/>
      <c r="O814" s="20" t="n"/>
      <c r="P814" s="19" t="n"/>
    </row>
    <row r="815">
      <c r="A815" s="19" t="n"/>
      <c r="B815" s="20" t="n"/>
      <c r="C815" s="21">
        <f>IF(B815="","",DATE(YEAR(B815),MONTH(B815),1))</f>
        <v/>
      </c>
      <c r="D815" s="19" t="n"/>
      <c r="E815" s="19" t="n"/>
      <c r="F815" s="19" t="n"/>
      <c r="G815" s="19" t="n"/>
      <c r="H815" s="19" t="n"/>
      <c r="I815" s="19" t="n"/>
      <c r="J815" s="19" t="n"/>
      <c r="K815" s="20" t="n"/>
      <c r="L815" s="22">
        <f>IF(OR(B815="",K815=""),"",K815-B815)</f>
        <v/>
      </c>
      <c r="M815" s="19" t="n"/>
      <c r="N815" s="19" t="n"/>
      <c r="O815" s="20" t="n"/>
      <c r="P815" s="19" t="n"/>
    </row>
    <row r="816">
      <c r="A816" s="19" t="n"/>
      <c r="B816" s="20" t="n"/>
      <c r="C816" s="21">
        <f>IF(B816="","",DATE(YEAR(B816),MONTH(B816),1))</f>
        <v/>
      </c>
      <c r="D816" s="19" t="n"/>
      <c r="E816" s="19" t="n"/>
      <c r="F816" s="19" t="n"/>
      <c r="G816" s="19" t="n"/>
      <c r="H816" s="19" t="n"/>
      <c r="I816" s="19" t="n"/>
      <c r="J816" s="19" t="n"/>
      <c r="K816" s="20" t="n"/>
      <c r="L816" s="22">
        <f>IF(OR(B816="",K816=""),"",K816-B816)</f>
        <v/>
      </c>
      <c r="M816" s="19" t="n"/>
      <c r="N816" s="19" t="n"/>
      <c r="O816" s="20" t="n"/>
      <c r="P816" s="19" t="n"/>
    </row>
    <row r="817">
      <c r="A817" s="19" t="n"/>
      <c r="B817" s="20" t="n"/>
      <c r="C817" s="21">
        <f>IF(B817="","",DATE(YEAR(B817),MONTH(B817),1))</f>
        <v/>
      </c>
      <c r="D817" s="19" t="n"/>
      <c r="E817" s="19" t="n"/>
      <c r="F817" s="19" t="n"/>
      <c r="G817" s="19" t="n"/>
      <c r="H817" s="19" t="n"/>
      <c r="I817" s="19" t="n"/>
      <c r="J817" s="19" t="n"/>
      <c r="K817" s="20" t="n"/>
      <c r="L817" s="22">
        <f>IF(OR(B817="",K817=""),"",K817-B817)</f>
        <v/>
      </c>
      <c r="M817" s="19" t="n"/>
      <c r="N817" s="19" t="n"/>
      <c r="O817" s="20" t="n"/>
      <c r="P817" s="19" t="n"/>
    </row>
    <row r="818">
      <c r="A818" s="19" t="n"/>
      <c r="B818" s="20" t="n"/>
      <c r="C818" s="21">
        <f>IF(B818="","",DATE(YEAR(B818),MONTH(B818),1))</f>
        <v/>
      </c>
      <c r="D818" s="19" t="n"/>
      <c r="E818" s="19" t="n"/>
      <c r="F818" s="19" t="n"/>
      <c r="G818" s="19" t="n"/>
      <c r="H818" s="19" t="n"/>
      <c r="I818" s="19" t="n"/>
      <c r="J818" s="19" t="n"/>
      <c r="K818" s="20" t="n"/>
      <c r="L818" s="22">
        <f>IF(OR(B818="",K818=""),"",K818-B818)</f>
        <v/>
      </c>
      <c r="M818" s="19" t="n"/>
      <c r="N818" s="19" t="n"/>
      <c r="O818" s="20" t="n"/>
      <c r="P818" s="19" t="n"/>
    </row>
    <row r="819">
      <c r="A819" s="19" t="n"/>
      <c r="B819" s="20" t="n"/>
      <c r="C819" s="21">
        <f>IF(B819="","",DATE(YEAR(B819),MONTH(B819),1))</f>
        <v/>
      </c>
      <c r="D819" s="19" t="n"/>
      <c r="E819" s="19" t="n"/>
      <c r="F819" s="19" t="n"/>
      <c r="G819" s="19" t="n"/>
      <c r="H819" s="19" t="n"/>
      <c r="I819" s="19" t="n"/>
      <c r="J819" s="19" t="n"/>
      <c r="K819" s="20" t="n"/>
      <c r="L819" s="22">
        <f>IF(OR(B819="",K819=""),"",K819-B819)</f>
        <v/>
      </c>
      <c r="M819" s="19" t="n"/>
      <c r="N819" s="19" t="n"/>
      <c r="O819" s="20" t="n"/>
      <c r="P819" s="19" t="n"/>
    </row>
    <row r="820">
      <c r="A820" s="19" t="n"/>
      <c r="B820" s="20" t="n"/>
      <c r="C820" s="21">
        <f>IF(B820="","",DATE(YEAR(B820),MONTH(B820),1))</f>
        <v/>
      </c>
      <c r="D820" s="19" t="n"/>
      <c r="E820" s="19" t="n"/>
      <c r="F820" s="19" t="n"/>
      <c r="G820" s="19" t="n"/>
      <c r="H820" s="19" t="n"/>
      <c r="I820" s="19" t="n"/>
      <c r="J820" s="19" t="n"/>
      <c r="K820" s="20" t="n"/>
      <c r="L820" s="22">
        <f>IF(OR(B820="",K820=""),"",K820-B820)</f>
        <v/>
      </c>
      <c r="M820" s="19" t="n"/>
      <c r="N820" s="19" t="n"/>
      <c r="O820" s="20" t="n"/>
      <c r="P820" s="19" t="n"/>
    </row>
    <row r="821">
      <c r="A821" s="19" t="n"/>
      <c r="B821" s="20" t="n"/>
      <c r="C821" s="21">
        <f>IF(B821="","",DATE(YEAR(B821),MONTH(B821),1))</f>
        <v/>
      </c>
      <c r="D821" s="19" t="n"/>
      <c r="E821" s="19" t="n"/>
      <c r="F821" s="19" t="n"/>
      <c r="G821" s="19" t="n"/>
      <c r="H821" s="19" t="n"/>
      <c r="I821" s="19" t="n"/>
      <c r="J821" s="19" t="n"/>
      <c r="K821" s="20" t="n"/>
      <c r="L821" s="22">
        <f>IF(OR(B821="",K821=""),"",K821-B821)</f>
        <v/>
      </c>
      <c r="M821" s="19" t="n"/>
      <c r="N821" s="19" t="n"/>
      <c r="O821" s="20" t="n"/>
      <c r="P821" s="19" t="n"/>
    </row>
    <row r="822">
      <c r="A822" s="19" t="n"/>
      <c r="B822" s="20" t="n"/>
      <c r="C822" s="21">
        <f>IF(B822="","",DATE(YEAR(B822),MONTH(B822),1))</f>
        <v/>
      </c>
      <c r="D822" s="19" t="n"/>
      <c r="E822" s="19" t="n"/>
      <c r="F822" s="19" t="n"/>
      <c r="G822" s="19" t="n"/>
      <c r="H822" s="19" t="n"/>
      <c r="I822" s="19" t="n"/>
      <c r="J822" s="19" t="n"/>
      <c r="K822" s="20" t="n"/>
      <c r="L822" s="22">
        <f>IF(OR(B822="",K822=""),"",K822-B822)</f>
        <v/>
      </c>
      <c r="M822" s="19" t="n"/>
      <c r="N822" s="19" t="n"/>
      <c r="O822" s="20" t="n"/>
      <c r="P822" s="19" t="n"/>
    </row>
    <row r="823">
      <c r="A823" s="19" t="n"/>
      <c r="B823" s="20" t="n"/>
      <c r="C823" s="21">
        <f>IF(B823="","",DATE(YEAR(B823),MONTH(B823),1))</f>
        <v/>
      </c>
      <c r="D823" s="19" t="n"/>
      <c r="E823" s="19" t="n"/>
      <c r="F823" s="19" t="n"/>
      <c r="G823" s="19" t="n"/>
      <c r="H823" s="19" t="n"/>
      <c r="I823" s="19" t="n"/>
      <c r="J823" s="19" t="n"/>
      <c r="K823" s="20" t="n"/>
      <c r="L823" s="22">
        <f>IF(OR(B823="",K823=""),"",K823-B823)</f>
        <v/>
      </c>
      <c r="M823" s="19" t="n"/>
      <c r="N823" s="19" t="n"/>
      <c r="O823" s="20" t="n"/>
      <c r="P823" s="19" t="n"/>
    </row>
    <row r="824">
      <c r="A824" s="19" t="n"/>
      <c r="B824" s="20" t="n"/>
      <c r="C824" s="21">
        <f>IF(B824="","",DATE(YEAR(B824),MONTH(B824),1))</f>
        <v/>
      </c>
      <c r="D824" s="19" t="n"/>
      <c r="E824" s="19" t="n"/>
      <c r="F824" s="19" t="n"/>
      <c r="G824" s="19" t="n"/>
      <c r="H824" s="19" t="n"/>
      <c r="I824" s="19" t="n"/>
      <c r="J824" s="19" t="n"/>
      <c r="K824" s="20" t="n"/>
      <c r="L824" s="22">
        <f>IF(OR(B824="",K824=""),"",K824-B824)</f>
        <v/>
      </c>
      <c r="M824" s="19" t="n"/>
      <c r="N824" s="19" t="n"/>
      <c r="O824" s="20" t="n"/>
      <c r="P824" s="19" t="n"/>
    </row>
    <row r="825">
      <c r="A825" s="19" t="n"/>
      <c r="B825" s="20" t="n"/>
      <c r="C825" s="21">
        <f>IF(B825="","",DATE(YEAR(B825),MONTH(B825),1))</f>
        <v/>
      </c>
      <c r="D825" s="19" t="n"/>
      <c r="E825" s="19" t="n"/>
      <c r="F825" s="19" t="n"/>
      <c r="G825" s="19" t="n"/>
      <c r="H825" s="19" t="n"/>
      <c r="I825" s="19" t="n"/>
      <c r="J825" s="19" t="n"/>
      <c r="K825" s="20" t="n"/>
      <c r="L825" s="22">
        <f>IF(OR(B825="",K825=""),"",K825-B825)</f>
        <v/>
      </c>
      <c r="M825" s="19" t="n"/>
      <c r="N825" s="19" t="n"/>
      <c r="O825" s="20" t="n"/>
      <c r="P825" s="19" t="n"/>
    </row>
    <row r="826">
      <c r="A826" s="19" t="n"/>
      <c r="B826" s="20" t="n"/>
      <c r="C826" s="21">
        <f>IF(B826="","",DATE(YEAR(B826),MONTH(B826),1))</f>
        <v/>
      </c>
      <c r="D826" s="19" t="n"/>
      <c r="E826" s="19" t="n"/>
      <c r="F826" s="19" t="n"/>
      <c r="G826" s="19" t="n"/>
      <c r="H826" s="19" t="n"/>
      <c r="I826" s="19" t="n"/>
      <c r="J826" s="19" t="n"/>
      <c r="K826" s="20" t="n"/>
      <c r="L826" s="22">
        <f>IF(OR(B826="",K826=""),"",K826-B826)</f>
        <v/>
      </c>
      <c r="M826" s="19" t="n"/>
      <c r="N826" s="19" t="n"/>
      <c r="O826" s="20" t="n"/>
      <c r="P826" s="19" t="n"/>
    </row>
    <row r="827">
      <c r="A827" s="19" t="n"/>
      <c r="B827" s="20" t="n"/>
      <c r="C827" s="21">
        <f>IF(B827="","",DATE(YEAR(B827),MONTH(B827),1))</f>
        <v/>
      </c>
      <c r="D827" s="19" t="n"/>
      <c r="E827" s="19" t="n"/>
      <c r="F827" s="19" t="n"/>
      <c r="G827" s="19" t="n"/>
      <c r="H827" s="19" t="n"/>
      <c r="I827" s="19" t="n"/>
      <c r="J827" s="19" t="n"/>
      <c r="K827" s="20" t="n"/>
      <c r="L827" s="22">
        <f>IF(OR(B827="",K827=""),"",K827-B827)</f>
        <v/>
      </c>
      <c r="M827" s="19" t="n"/>
      <c r="N827" s="19" t="n"/>
      <c r="O827" s="20" t="n"/>
      <c r="P827" s="19" t="n"/>
    </row>
    <row r="828">
      <c r="A828" s="19" t="n"/>
      <c r="B828" s="20" t="n"/>
      <c r="C828" s="21">
        <f>IF(B828="","",DATE(YEAR(B828),MONTH(B828),1))</f>
        <v/>
      </c>
      <c r="D828" s="19" t="n"/>
      <c r="E828" s="19" t="n"/>
      <c r="F828" s="19" t="n"/>
      <c r="G828" s="19" t="n"/>
      <c r="H828" s="19" t="n"/>
      <c r="I828" s="19" t="n"/>
      <c r="J828" s="19" t="n"/>
      <c r="K828" s="20" t="n"/>
      <c r="L828" s="22">
        <f>IF(OR(B828="",K828=""),"",K828-B828)</f>
        <v/>
      </c>
      <c r="M828" s="19" t="n"/>
      <c r="N828" s="19" t="n"/>
      <c r="O828" s="20" t="n"/>
      <c r="P828" s="19" t="n"/>
    </row>
    <row r="829">
      <c r="A829" s="19" t="n"/>
      <c r="B829" s="20" t="n"/>
      <c r="C829" s="21">
        <f>IF(B829="","",DATE(YEAR(B829),MONTH(B829),1))</f>
        <v/>
      </c>
      <c r="D829" s="19" t="n"/>
      <c r="E829" s="19" t="n"/>
      <c r="F829" s="19" t="n"/>
      <c r="G829" s="19" t="n"/>
      <c r="H829" s="19" t="n"/>
      <c r="I829" s="19" t="n"/>
      <c r="J829" s="19" t="n"/>
      <c r="K829" s="20" t="n"/>
      <c r="L829" s="22">
        <f>IF(OR(B829="",K829=""),"",K829-B829)</f>
        <v/>
      </c>
      <c r="M829" s="19" t="n"/>
      <c r="N829" s="19" t="n"/>
      <c r="O829" s="20" t="n"/>
      <c r="P829" s="19" t="n"/>
    </row>
    <row r="830">
      <c r="A830" s="19" t="n"/>
      <c r="B830" s="20" t="n"/>
      <c r="C830" s="21">
        <f>IF(B830="","",DATE(YEAR(B830),MONTH(B830),1))</f>
        <v/>
      </c>
      <c r="D830" s="19" t="n"/>
      <c r="E830" s="19" t="n"/>
      <c r="F830" s="19" t="n"/>
      <c r="G830" s="19" t="n"/>
      <c r="H830" s="19" t="n"/>
      <c r="I830" s="19" t="n"/>
      <c r="J830" s="19" t="n"/>
      <c r="K830" s="20" t="n"/>
      <c r="L830" s="22">
        <f>IF(OR(B830="",K830=""),"",K830-B830)</f>
        <v/>
      </c>
      <c r="M830" s="19" t="n"/>
      <c r="N830" s="19" t="n"/>
      <c r="O830" s="20" t="n"/>
      <c r="P830" s="19" t="n"/>
    </row>
    <row r="831">
      <c r="A831" s="19" t="n"/>
      <c r="B831" s="20" t="n"/>
      <c r="C831" s="21">
        <f>IF(B831="","",DATE(YEAR(B831),MONTH(B831),1))</f>
        <v/>
      </c>
      <c r="D831" s="19" t="n"/>
      <c r="E831" s="19" t="n"/>
      <c r="F831" s="19" t="n"/>
      <c r="G831" s="19" t="n"/>
      <c r="H831" s="19" t="n"/>
      <c r="I831" s="19" t="n"/>
      <c r="J831" s="19" t="n"/>
      <c r="K831" s="20" t="n"/>
      <c r="L831" s="22">
        <f>IF(OR(B831="",K831=""),"",K831-B831)</f>
        <v/>
      </c>
      <c r="M831" s="19" t="n"/>
      <c r="N831" s="19" t="n"/>
      <c r="O831" s="20" t="n"/>
      <c r="P831" s="19" t="n"/>
    </row>
    <row r="832">
      <c r="A832" s="19" t="n"/>
      <c r="B832" s="20" t="n"/>
      <c r="C832" s="21">
        <f>IF(B832="","",DATE(YEAR(B832),MONTH(B832),1))</f>
        <v/>
      </c>
      <c r="D832" s="19" t="n"/>
      <c r="E832" s="19" t="n"/>
      <c r="F832" s="19" t="n"/>
      <c r="G832" s="19" t="n"/>
      <c r="H832" s="19" t="n"/>
      <c r="I832" s="19" t="n"/>
      <c r="J832" s="19" t="n"/>
      <c r="K832" s="20" t="n"/>
      <c r="L832" s="22">
        <f>IF(OR(B832="",K832=""),"",K832-B832)</f>
        <v/>
      </c>
      <c r="M832" s="19" t="n"/>
      <c r="N832" s="19" t="n"/>
      <c r="O832" s="20" t="n"/>
      <c r="P832" s="19" t="n"/>
    </row>
    <row r="833">
      <c r="A833" s="19" t="n"/>
      <c r="B833" s="20" t="n"/>
      <c r="C833" s="21">
        <f>IF(B833="","",DATE(YEAR(B833),MONTH(B833),1))</f>
        <v/>
      </c>
      <c r="D833" s="19" t="n"/>
      <c r="E833" s="19" t="n"/>
      <c r="F833" s="19" t="n"/>
      <c r="G833" s="19" t="n"/>
      <c r="H833" s="19" t="n"/>
      <c r="I833" s="19" t="n"/>
      <c r="J833" s="19" t="n"/>
      <c r="K833" s="20" t="n"/>
      <c r="L833" s="22">
        <f>IF(OR(B833="",K833=""),"",K833-B833)</f>
        <v/>
      </c>
      <c r="M833" s="19" t="n"/>
      <c r="N833" s="19" t="n"/>
      <c r="O833" s="20" t="n"/>
      <c r="P833" s="19" t="n"/>
    </row>
    <row r="834">
      <c r="A834" s="19" t="n"/>
      <c r="B834" s="20" t="n"/>
      <c r="C834" s="21">
        <f>IF(B834="","",DATE(YEAR(B834),MONTH(B834),1))</f>
        <v/>
      </c>
      <c r="D834" s="19" t="n"/>
      <c r="E834" s="19" t="n"/>
      <c r="F834" s="19" t="n"/>
      <c r="G834" s="19" t="n"/>
      <c r="H834" s="19" t="n"/>
      <c r="I834" s="19" t="n"/>
      <c r="J834" s="19" t="n"/>
      <c r="K834" s="20" t="n"/>
      <c r="L834" s="22">
        <f>IF(OR(B834="",K834=""),"",K834-B834)</f>
        <v/>
      </c>
      <c r="M834" s="19" t="n"/>
      <c r="N834" s="19" t="n"/>
      <c r="O834" s="20" t="n"/>
      <c r="P834" s="19" t="n"/>
    </row>
    <row r="835">
      <c r="A835" s="19" t="n"/>
      <c r="B835" s="20" t="n"/>
      <c r="C835" s="21">
        <f>IF(B835="","",DATE(YEAR(B835),MONTH(B835),1))</f>
        <v/>
      </c>
      <c r="D835" s="19" t="n"/>
      <c r="E835" s="19" t="n"/>
      <c r="F835" s="19" t="n"/>
      <c r="G835" s="19" t="n"/>
      <c r="H835" s="19" t="n"/>
      <c r="I835" s="19" t="n"/>
      <c r="J835" s="19" t="n"/>
      <c r="K835" s="20" t="n"/>
      <c r="L835" s="22">
        <f>IF(OR(B835="",K835=""),"",K835-B835)</f>
        <v/>
      </c>
      <c r="M835" s="19" t="n"/>
      <c r="N835" s="19" t="n"/>
      <c r="O835" s="20" t="n"/>
      <c r="P835" s="19" t="n"/>
    </row>
    <row r="836">
      <c r="A836" s="19" t="n"/>
      <c r="B836" s="20" t="n"/>
      <c r="C836" s="21">
        <f>IF(B836="","",DATE(YEAR(B836),MONTH(B836),1))</f>
        <v/>
      </c>
      <c r="D836" s="19" t="n"/>
      <c r="E836" s="19" t="n"/>
      <c r="F836" s="19" t="n"/>
      <c r="G836" s="19" t="n"/>
      <c r="H836" s="19" t="n"/>
      <c r="I836" s="19" t="n"/>
      <c r="J836" s="19" t="n"/>
      <c r="K836" s="20" t="n"/>
      <c r="L836" s="22">
        <f>IF(OR(B836="",K836=""),"",K836-B836)</f>
        <v/>
      </c>
      <c r="M836" s="19" t="n"/>
      <c r="N836" s="19" t="n"/>
      <c r="O836" s="20" t="n"/>
      <c r="P836" s="19" t="n"/>
    </row>
    <row r="837">
      <c r="A837" s="19" t="n"/>
      <c r="B837" s="20" t="n"/>
      <c r="C837" s="21">
        <f>IF(B837="","",DATE(YEAR(B837),MONTH(B837),1))</f>
        <v/>
      </c>
      <c r="D837" s="19" t="n"/>
      <c r="E837" s="19" t="n"/>
      <c r="F837" s="19" t="n"/>
      <c r="G837" s="19" t="n"/>
      <c r="H837" s="19" t="n"/>
      <c r="I837" s="19" t="n"/>
      <c r="J837" s="19" t="n"/>
      <c r="K837" s="20" t="n"/>
      <c r="L837" s="22">
        <f>IF(OR(B837="",K837=""),"",K837-B837)</f>
        <v/>
      </c>
      <c r="M837" s="19" t="n"/>
      <c r="N837" s="19" t="n"/>
      <c r="O837" s="20" t="n"/>
      <c r="P837" s="19" t="n"/>
    </row>
    <row r="838">
      <c r="A838" s="19" t="n"/>
      <c r="B838" s="20" t="n"/>
      <c r="C838" s="21">
        <f>IF(B838="","",DATE(YEAR(B838),MONTH(B838),1))</f>
        <v/>
      </c>
      <c r="D838" s="19" t="n"/>
      <c r="E838" s="19" t="n"/>
      <c r="F838" s="19" t="n"/>
      <c r="G838" s="19" t="n"/>
      <c r="H838" s="19" t="n"/>
      <c r="I838" s="19" t="n"/>
      <c r="J838" s="19" t="n"/>
      <c r="K838" s="20" t="n"/>
      <c r="L838" s="22">
        <f>IF(OR(B838="",K838=""),"",K838-B838)</f>
        <v/>
      </c>
      <c r="M838" s="19" t="n"/>
      <c r="N838" s="19" t="n"/>
      <c r="O838" s="20" t="n"/>
      <c r="P838" s="19" t="n"/>
    </row>
    <row r="839">
      <c r="A839" s="19" t="n"/>
      <c r="B839" s="20" t="n"/>
      <c r="C839" s="21">
        <f>IF(B839="","",DATE(YEAR(B839),MONTH(B839),1))</f>
        <v/>
      </c>
      <c r="D839" s="19" t="n"/>
      <c r="E839" s="19" t="n"/>
      <c r="F839" s="19" t="n"/>
      <c r="G839" s="19" t="n"/>
      <c r="H839" s="19" t="n"/>
      <c r="I839" s="19" t="n"/>
      <c r="J839" s="19" t="n"/>
      <c r="K839" s="20" t="n"/>
      <c r="L839" s="22">
        <f>IF(OR(B839="",K839=""),"",K839-B839)</f>
        <v/>
      </c>
      <c r="M839" s="19" t="n"/>
      <c r="N839" s="19" t="n"/>
      <c r="O839" s="20" t="n"/>
      <c r="P839" s="19" t="n"/>
    </row>
    <row r="840">
      <c r="A840" s="19" t="n"/>
      <c r="B840" s="20" t="n"/>
      <c r="C840" s="21">
        <f>IF(B840="","",DATE(YEAR(B840),MONTH(B840),1))</f>
        <v/>
      </c>
      <c r="D840" s="19" t="n"/>
      <c r="E840" s="19" t="n"/>
      <c r="F840" s="19" t="n"/>
      <c r="G840" s="19" t="n"/>
      <c r="H840" s="19" t="n"/>
      <c r="I840" s="19" t="n"/>
      <c r="J840" s="19" t="n"/>
      <c r="K840" s="20" t="n"/>
      <c r="L840" s="22">
        <f>IF(OR(B840="",K840=""),"",K840-B840)</f>
        <v/>
      </c>
      <c r="M840" s="19" t="n"/>
      <c r="N840" s="19" t="n"/>
      <c r="O840" s="20" t="n"/>
      <c r="P840" s="19" t="n"/>
    </row>
    <row r="841">
      <c r="A841" s="19" t="n"/>
      <c r="B841" s="20" t="n"/>
      <c r="C841" s="21">
        <f>IF(B841="","",DATE(YEAR(B841),MONTH(B841),1))</f>
        <v/>
      </c>
      <c r="D841" s="19" t="n"/>
      <c r="E841" s="19" t="n"/>
      <c r="F841" s="19" t="n"/>
      <c r="G841" s="19" t="n"/>
      <c r="H841" s="19" t="n"/>
      <c r="I841" s="19" t="n"/>
      <c r="J841" s="19" t="n"/>
      <c r="K841" s="20" t="n"/>
      <c r="L841" s="22">
        <f>IF(OR(B841="",K841=""),"",K841-B841)</f>
        <v/>
      </c>
      <c r="M841" s="19" t="n"/>
      <c r="N841" s="19" t="n"/>
      <c r="O841" s="20" t="n"/>
      <c r="P841" s="19" t="n"/>
    </row>
    <row r="842">
      <c r="A842" s="19" t="n"/>
      <c r="B842" s="20" t="n"/>
      <c r="C842" s="21">
        <f>IF(B842="","",DATE(YEAR(B842),MONTH(B842),1))</f>
        <v/>
      </c>
      <c r="D842" s="19" t="n"/>
      <c r="E842" s="19" t="n"/>
      <c r="F842" s="19" t="n"/>
      <c r="G842" s="19" t="n"/>
      <c r="H842" s="19" t="n"/>
      <c r="I842" s="19" t="n"/>
      <c r="J842" s="19" t="n"/>
      <c r="K842" s="20" t="n"/>
      <c r="L842" s="22">
        <f>IF(OR(B842="",K842=""),"",K842-B842)</f>
        <v/>
      </c>
      <c r="M842" s="19" t="n"/>
      <c r="N842" s="19" t="n"/>
      <c r="O842" s="20" t="n"/>
      <c r="P842" s="19" t="n"/>
    </row>
    <row r="843">
      <c r="A843" s="19" t="n"/>
      <c r="B843" s="20" t="n"/>
      <c r="C843" s="21">
        <f>IF(B843="","",DATE(YEAR(B843),MONTH(B843),1))</f>
        <v/>
      </c>
      <c r="D843" s="19" t="n"/>
      <c r="E843" s="19" t="n"/>
      <c r="F843" s="19" t="n"/>
      <c r="G843" s="19" t="n"/>
      <c r="H843" s="19" t="n"/>
      <c r="I843" s="19" t="n"/>
      <c r="J843" s="19" t="n"/>
      <c r="K843" s="20" t="n"/>
      <c r="L843" s="22">
        <f>IF(OR(B843="",K843=""),"",K843-B843)</f>
        <v/>
      </c>
      <c r="M843" s="19" t="n"/>
      <c r="N843" s="19" t="n"/>
      <c r="O843" s="20" t="n"/>
      <c r="P843" s="19" t="n"/>
    </row>
    <row r="844">
      <c r="A844" s="19" t="n"/>
      <c r="B844" s="20" t="n"/>
      <c r="C844" s="21">
        <f>IF(B844="","",DATE(YEAR(B844),MONTH(B844),1))</f>
        <v/>
      </c>
      <c r="D844" s="19" t="n"/>
      <c r="E844" s="19" t="n"/>
      <c r="F844" s="19" t="n"/>
      <c r="G844" s="19" t="n"/>
      <c r="H844" s="19" t="n"/>
      <c r="I844" s="19" t="n"/>
      <c r="J844" s="19" t="n"/>
      <c r="K844" s="20" t="n"/>
      <c r="L844" s="22">
        <f>IF(OR(B844="",K844=""),"",K844-B844)</f>
        <v/>
      </c>
      <c r="M844" s="19" t="n"/>
      <c r="N844" s="19" t="n"/>
      <c r="O844" s="20" t="n"/>
      <c r="P844" s="19" t="n"/>
    </row>
    <row r="845">
      <c r="A845" s="19" t="n"/>
      <c r="B845" s="20" t="n"/>
      <c r="C845" s="21">
        <f>IF(B845="","",DATE(YEAR(B845),MONTH(B845),1))</f>
        <v/>
      </c>
      <c r="D845" s="19" t="n"/>
      <c r="E845" s="19" t="n"/>
      <c r="F845" s="19" t="n"/>
      <c r="G845" s="19" t="n"/>
      <c r="H845" s="19" t="n"/>
      <c r="I845" s="19" t="n"/>
      <c r="J845" s="19" t="n"/>
      <c r="K845" s="20" t="n"/>
      <c r="L845" s="22">
        <f>IF(OR(B845="",K845=""),"",K845-B845)</f>
        <v/>
      </c>
      <c r="M845" s="19" t="n"/>
      <c r="N845" s="19" t="n"/>
      <c r="O845" s="20" t="n"/>
      <c r="P845" s="19" t="n"/>
    </row>
    <row r="846">
      <c r="A846" s="19" t="n"/>
      <c r="B846" s="20" t="n"/>
      <c r="C846" s="21">
        <f>IF(B846="","",DATE(YEAR(B846),MONTH(B846),1))</f>
        <v/>
      </c>
      <c r="D846" s="19" t="n"/>
      <c r="E846" s="19" t="n"/>
      <c r="F846" s="19" t="n"/>
      <c r="G846" s="19" t="n"/>
      <c r="H846" s="19" t="n"/>
      <c r="I846" s="19" t="n"/>
      <c r="J846" s="19" t="n"/>
      <c r="K846" s="20" t="n"/>
      <c r="L846" s="22">
        <f>IF(OR(B846="",K846=""),"",K846-B846)</f>
        <v/>
      </c>
      <c r="M846" s="19" t="n"/>
      <c r="N846" s="19" t="n"/>
      <c r="O846" s="20" t="n"/>
      <c r="P846" s="19" t="n"/>
    </row>
    <row r="847">
      <c r="A847" s="19" t="n"/>
      <c r="B847" s="20" t="n"/>
      <c r="C847" s="21">
        <f>IF(B847="","",DATE(YEAR(B847),MONTH(B847),1))</f>
        <v/>
      </c>
      <c r="D847" s="19" t="n"/>
      <c r="E847" s="19" t="n"/>
      <c r="F847" s="19" t="n"/>
      <c r="G847" s="19" t="n"/>
      <c r="H847" s="19" t="n"/>
      <c r="I847" s="19" t="n"/>
      <c r="J847" s="19" t="n"/>
      <c r="K847" s="20" t="n"/>
      <c r="L847" s="22">
        <f>IF(OR(B847="",K847=""),"",K847-B847)</f>
        <v/>
      </c>
      <c r="M847" s="19" t="n"/>
      <c r="N847" s="19" t="n"/>
      <c r="O847" s="20" t="n"/>
      <c r="P847" s="19" t="n"/>
    </row>
    <row r="848">
      <c r="A848" s="19" t="n"/>
      <c r="B848" s="20" t="n"/>
      <c r="C848" s="21">
        <f>IF(B848="","",DATE(YEAR(B848),MONTH(B848),1))</f>
        <v/>
      </c>
      <c r="D848" s="19" t="n"/>
      <c r="E848" s="19" t="n"/>
      <c r="F848" s="19" t="n"/>
      <c r="G848" s="19" t="n"/>
      <c r="H848" s="19" t="n"/>
      <c r="I848" s="19" t="n"/>
      <c r="J848" s="19" t="n"/>
      <c r="K848" s="20" t="n"/>
      <c r="L848" s="22">
        <f>IF(OR(B848="",K848=""),"",K848-B848)</f>
        <v/>
      </c>
      <c r="M848" s="19" t="n"/>
      <c r="N848" s="19" t="n"/>
      <c r="O848" s="20" t="n"/>
      <c r="P848" s="19" t="n"/>
    </row>
    <row r="849">
      <c r="A849" s="19" t="n"/>
      <c r="B849" s="20" t="n"/>
      <c r="C849" s="21">
        <f>IF(B849="","",DATE(YEAR(B849),MONTH(B849),1))</f>
        <v/>
      </c>
      <c r="D849" s="19" t="n"/>
      <c r="E849" s="19" t="n"/>
      <c r="F849" s="19" t="n"/>
      <c r="G849" s="19" t="n"/>
      <c r="H849" s="19" t="n"/>
      <c r="I849" s="19" t="n"/>
      <c r="J849" s="19" t="n"/>
      <c r="K849" s="20" t="n"/>
      <c r="L849" s="22">
        <f>IF(OR(B849="",K849=""),"",K849-B849)</f>
        <v/>
      </c>
      <c r="M849" s="19" t="n"/>
      <c r="N849" s="19" t="n"/>
      <c r="O849" s="20" t="n"/>
      <c r="P849" s="19" t="n"/>
    </row>
    <row r="850">
      <c r="A850" s="19" t="n"/>
      <c r="B850" s="20" t="n"/>
      <c r="C850" s="21">
        <f>IF(B850="","",DATE(YEAR(B850),MONTH(B850),1))</f>
        <v/>
      </c>
      <c r="D850" s="19" t="n"/>
      <c r="E850" s="19" t="n"/>
      <c r="F850" s="19" t="n"/>
      <c r="G850" s="19" t="n"/>
      <c r="H850" s="19" t="n"/>
      <c r="I850" s="19" t="n"/>
      <c r="J850" s="19" t="n"/>
      <c r="K850" s="20" t="n"/>
      <c r="L850" s="22">
        <f>IF(OR(B850="",K850=""),"",K850-B850)</f>
        <v/>
      </c>
      <c r="M850" s="19" t="n"/>
      <c r="N850" s="19" t="n"/>
      <c r="O850" s="20" t="n"/>
      <c r="P850" s="19" t="n"/>
    </row>
    <row r="851">
      <c r="A851" s="19" t="n"/>
      <c r="B851" s="20" t="n"/>
      <c r="C851" s="21">
        <f>IF(B851="","",DATE(YEAR(B851),MONTH(B851),1))</f>
        <v/>
      </c>
      <c r="D851" s="19" t="n"/>
      <c r="E851" s="19" t="n"/>
      <c r="F851" s="19" t="n"/>
      <c r="G851" s="19" t="n"/>
      <c r="H851" s="19" t="n"/>
      <c r="I851" s="19" t="n"/>
      <c r="J851" s="19" t="n"/>
      <c r="K851" s="20" t="n"/>
      <c r="L851" s="22">
        <f>IF(OR(B851="",K851=""),"",K851-B851)</f>
        <v/>
      </c>
      <c r="M851" s="19" t="n"/>
      <c r="N851" s="19" t="n"/>
      <c r="O851" s="20" t="n"/>
      <c r="P851" s="19" t="n"/>
    </row>
    <row r="852">
      <c r="A852" s="19" t="n"/>
      <c r="B852" s="20" t="n"/>
      <c r="C852" s="21">
        <f>IF(B852="","",DATE(YEAR(B852),MONTH(B852),1))</f>
        <v/>
      </c>
      <c r="D852" s="19" t="n"/>
      <c r="E852" s="19" t="n"/>
      <c r="F852" s="19" t="n"/>
      <c r="G852" s="19" t="n"/>
      <c r="H852" s="19" t="n"/>
      <c r="I852" s="19" t="n"/>
      <c r="J852" s="19" t="n"/>
      <c r="K852" s="20" t="n"/>
      <c r="L852" s="22">
        <f>IF(OR(B852="",K852=""),"",K852-B852)</f>
        <v/>
      </c>
      <c r="M852" s="19" t="n"/>
      <c r="N852" s="19" t="n"/>
      <c r="O852" s="20" t="n"/>
      <c r="P852" s="19" t="n"/>
    </row>
    <row r="853">
      <c r="A853" s="19" t="n"/>
      <c r="B853" s="20" t="n"/>
      <c r="C853" s="21">
        <f>IF(B853="","",DATE(YEAR(B853),MONTH(B853),1))</f>
        <v/>
      </c>
      <c r="D853" s="19" t="n"/>
      <c r="E853" s="19" t="n"/>
      <c r="F853" s="19" t="n"/>
      <c r="G853" s="19" t="n"/>
      <c r="H853" s="19" t="n"/>
      <c r="I853" s="19" t="n"/>
      <c r="J853" s="19" t="n"/>
      <c r="K853" s="20" t="n"/>
      <c r="L853" s="22">
        <f>IF(OR(B853="",K853=""),"",K853-B853)</f>
        <v/>
      </c>
      <c r="M853" s="19" t="n"/>
      <c r="N853" s="19" t="n"/>
      <c r="O853" s="20" t="n"/>
      <c r="P853" s="19" t="n"/>
    </row>
    <row r="854">
      <c r="A854" s="19" t="n"/>
      <c r="B854" s="20" t="n"/>
      <c r="C854" s="21">
        <f>IF(B854="","",DATE(YEAR(B854),MONTH(B854),1))</f>
        <v/>
      </c>
      <c r="D854" s="19" t="n"/>
      <c r="E854" s="19" t="n"/>
      <c r="F854" s="19" t="n"/>
      <c r="G854" s="19" t="n"/>
      <c r="H854" s="19" t="n"/>
      <c r="I854" s="19" t="n"/>
      <c r="J854" s="19" t="n"/>
      <c r="K854" s="20" t="n"/>
      <c r="L854" s="22">
        <f>IF(OR(B854="",K854=""),"",K854-B854)</f>
        <v/>
      </c>
      <c r="M854" s="19" t="n"/>
      <c r="N854" s="19" t="n"/>
      <c r="O854" s="20" t="n"/>
      <c r="P854" s="19" t="n"/>
    </row>
    <row r="855">
      <c r="A855" s="19" t="n"/>
      <c r="B855" s="20" t="n"/>
      <c r="C855" s="21">
        <f>IF(B855="","",DATE(YEAR(B855),MONTH(B855),1))</f>
        <v/>
      </c>
      <c r="D855" s="19" t="n"/>
      <c r="E855" s="19" t="n"/>
      <c r="F855" s="19" t="n"/>
      <c r="G855" s="19" t="n"/>
      <c r="H855" s="19" t="n"/>
      <c r="I855" s="19" t="n"/>
      <c r="J855" s="19" t="n"/>
      <c r="K855" s="20" t="n"/>
      <c r="L855" s="22">
        <f>IF(OR(B855="",K855=""),"",K855-B855)</f>
        <v/>
      </c>
      <c r="M855" s="19" t="n"/>
      <c r="N855" s="19" t="n"/>
      <c r="O855" s="20" t="n"/>
      <c r="P855" s="19" t="n"/>
    </row>
    <row r="856">
      <c r="A856" s="19" t="n"/>
      <c r="B856" s="20" t="n"/>
      <c r="C856" s="21">
        <f>IF(B856="","",DATE(YEAR(B856),MONTH(B856),1))</f>
        <v/>
      </c>
      <c r="D856" s="19" t="n"/>
      <c r="E856" s="19" t="n"/>
      <c r="F856" s="19" t="n"/>
      <c r="G856" s="19" t="n"/>
      <c r="H856" s="19" t="n"/>
      <c r="I856" s="19" t="n"/>
      <c r="J856" s="19" t="n"/>
      <c r="K856" s="20" t="n"/>
      <c r="L856" s="22">
        <f>IF(OR(B856="",K856=""),"",K856-B856)</f>
        <v/>
      </c>
      <c r="M856" s="19" t="n"/>
      <c r="N856" s="19" t="n"/>
      <c r="O856" s="20" t="n"/>
      <c r="P856" s="19" t="n"/>
    </row>
    <row r="857">
      <c r="A857" s="19" t="n"/>
      <c r="B857" s="20" t="n"/>
      <c r="C857" s="21">
        <f>IF(B857="","",DATE(YEAR(B857),MONTH(B857),1))</f>
        <v/>
      </c>
      <c r="D857" s="19" t="n"/>
      <c r="E857" s="19" t="n"/>
      <c r="F857" s="19" t="n"/>
      <c r="G857" s="19" t="n"/>
      <c r="H857" s="19" t="n"/>
      <c r="I857" s="19" t="n"/>
      <c r="J857" s="19" t="n"/>
      <c r="K857" s="20" t="n"/>
      <c r="L857" s="22">
        <f>IF(OR(B857="",K857=""),"",K857-B857)</f>
        <v/>
      </c>
      <c r="M857" s="19" t="n"/>
      <c r="N857" s="19" t="n"/>
      <c r="O857" s="20" t="n"/>
      <c r="P857" s="19" t="n"/>
    </row>
    <row r="858">
      <c r="A858" s="19" t="n"/>
      <c r="B858" s="20" t="n"/>
      <c r="C858" s="21">
        <f>IF(B858="","",DATE(YEAR(B858),MONTH(B858),1))</f>
        <v/>
      </c>
      <c r="D858" s="19" t="n"/>
      <c r="E858" s="19" t="n"/>
      <c r="F858" s="19" t="n"/>
      <c r="G858" s="19" t="n"/>
      <c r="H858" s="19" t="n"/>
      <c r="I858" s="19" t="n"/>
      <c r="J858" s="19" t="n"/>
      <c r="K858" s="20" t="n"/>
      <c r="L858" s="22">
        <f>IF(OR(B858="",K858=""),"",K858-B858)</f>
        <v/>
      </c>
      <c r="M858" s="19" t="n"/>
      <c r="N858" s="19" t="n"/>
      <c r="O858" s="20" t="n"/>
      <c r="P858" s="19" t="n"/>
    </row>
    <row r="859">
      <c r="A859" s="19" t="n"/>
      <c r="B859" s="20" t="n"/>
      <c r="C859" s="21">
        <f>IF(B859="","",DATE(YEAR(B859),MONTH(B859),1))</f>
        <v/>
      </c>
      <c r="D859" s="19" t="n"/>
      <c r="E859" s="19" t="n"/>
      <c r="F859" s="19" t="n"/>
      <c r="G859" s="19" t="n"/>
      <c r="H859" s="19" t="n"/>
      <c r="I859" s="19" t="n"/>
      <c r="J859" s="19" t="n"/>
      <c r="K859" s="20" t="n"/>
      <c r="L859" s="22">
        <f>IF(OR(B859="",K859=""),"",K859-B859)</f>
        <v/>
      </c>
      <c r="M859" s="19" t="n"/>
      <c r="N859" s="19" t="n"/>
      <c r="O859" s="20" t="n"/>
      <c r="P859" s="19" t="n"/>
    </row>
    <row r="860">
      <c r="A860" s="19" t="n"/>
      <c r="B860" s="20" t="n"/>
      <c r="C860" s="21">
        <f>IF(B860="","",DATE(YEAR(B860),MONTH(B860),1))</f>
        <v/>
      </c>
      <c r="D860" s="19" t="n"/>
      <c r="E860" s="19" t="n"/>
      <c r="F860" s="19" t="n"/>
      <c r="G860" s="19" t="n"/>
      <c r="H860" s="19" t="n"/>
      <c r="I860" s="19" t="n"/>
      <c r="J860" s="19" t="n"/>
      <c r="K860" s="20" t="n"/>
      <c r="L860" s="22">
        <f>IF(OR(B860="",K860=""),"",K860-B860)</f>
        <v/>
      </c>
      <c r="M860" s="19" t="n"/>
      <c r="N860" s="19" t="n"/>
      <c r="O860" s="20" t="n"/>
      <c r="P860" s="19" t="n"/>
    </row>
    <row r="861">
      <c r="A861" s="19" t="n"/>
      <c r="B861" s="20" t="n"/>
      <c r="C861" s="21">
        <f>IF(B861="","",DATE(YEAR(B861),MONTH(B861),1))</f>
        <v/>
      </c>
      <c r="D861" s="19" t="n"/>
      <c r="E861" s="19" t="n"/>
      <c r="F861" s="19" t="n"/>
      <c r="G861" s="19" t="n"/>
      <c r="H861" s="19" t="n"/>
      <c r="I861" s="19" t="n"/>
      <c r="J861" s="19" t="n"/>
      <c r="K861" s="20" t="n"/>
      <c r="L861" s="22">
        <f>IF(OR(B861="",K861=""),"",K861-B861)</f>
        <v/>
      </c>
      <c r="M861" s="19" t="n"/>
      <c r="N861" s="19" t="n"/>
      <c r="O861" s="20" t="n"/>
      <c r="P861" s="19" t="n"/>
    </row>
    <row r="862">
      <c r="A862" s="19" t="n"/>
      <c r="B862" s="20" t="n"/>
      <c r="C862" s="21">
        <f>IF(B862="","",DATE(YEAR(B862),MONTH(B862),1))</f>
        <v/>
      </c>
      <c r="D862" s="19" t="n"/>
      <c r="E862" s="19" t="n"/>
      <c r="F862" s="19" t="n"/>
      <c r="G862" s="19" t="n"/>
      <c r="H862" s="19" t="n"/>
      <c r="I862" s="19" t="n"/>
      <c r="J862" s="19" t="n"/>
      <c r="K862" s="20" t="n"/>
      <c r="L862" s="22">
        <f>IF(OR(B862="",K862=""),"",K862-B862)</f>
        <v/>
      </c>
      <c r="M862" s="19" t="n"/>
      <c r="N862" s="19" t="n"/>
      <c r="O862" s="20" t="n"/>
      <c r="P862" s="19" t="n"/>
    </row>
    <row r="863">
      <c r="A863" s="19" t="n"/>
      <c r="B863" s="20" t="n"/>
      <c r="C863" s="21">
        <f>IF(B863="","",DATE(YEAR(B863),MONTH(B863),1))</f>
        <v/>
      </c>
      <c r="D863" s="19" t="n"/>
      <c r="E863" s="19" t="n"/>
      <c r="F863" s="19" t="n"/>
      <c r="G863" s="19" t="n"/>
      <c r="H863" s="19" t="n"/>
      <c r="I863" s="19" t="n"/>
      <c r="J863" s="19" t="n"/>
      <c r="K863" s="20" t="n"/>
      <c r="L863" s="22">
        <f>IF(OR(B863="",K863=""),"",K863-B863)</f>
        <v/>
      </c>
      <c r="M863" s="19" t="n"/>
      <c r="N863" s="19" t="n"/>
      <c r="O863" s="20" t="n"/>
      <c r="P863" s="19" t="n"/>
    </row>
    <row r="864">
      <c r="A864" s="19" t="n"/>
      <c r="B864" s="20" t="n"/>
      <c r="C864" s="21">
        <f>IF(B864="","",DATE(YEAR(B864),MONTH(B864),1))</f>
        <v/>
      </c>
      <c r="D864" s="19" t="n"/>
      <c r="E864" s="19" t="n"/>
      <c r="F864" s="19" t="n"/>
      <c r="G864" s="19" t="n"/>
      <c r="H864" s="19" t="n"/>
      <c r="I864" s="19" t="n"/>
      <c r="J864" s="19" t="n"/>
      <c r="K864" s="20" t="n"/>
      <c r="L864" s="22">
        <f>IF(OR(B864="",K864=""),"",K864-B864)</f>
        <v/>
      </c>
      <c r="M864" s="19" t="n"/>
      <c r="N864" s="19" t="n"/>
      <c r="O864" s="20" t="n"/>
      <c r="P864" s="19" t="n"/>
    </row>
    <row r="865">
      <c r="A865" s="19" t="n"/>
      <c r="B865" s="20" t="n"/>
      <c r="C865" s="21">
        <f>IF(B865="","",DATE(YEAR(B865),MONTH(B865),1))</f>
        <v/>
      </c>
      <c r="D865" s="19" t="n"/>
      <c r="E865" s="19" t="n"/>
      <c r="F865" s="19" t="n"/>
      <c r="G865" s="19" t="n"/>
      <c r="H865" s="19" t="n"/>
      <c r="I865" s="19" t="n"/>
      <c r="J865" s="19" t="n"/>
      <c r="K865" s="20" t="n"/>
      <c r="L865" s="22">
        <f>IF(OR(B865="",K865=""),"",K865-B865)</f>
        <v/>
      </c>
      <c r="M865" s="19" t="n"/>
      <c r="N865" s="19" t="n"/>
      <c r="O865" s="20" t="n"/>
      <c r="P865" s="19" t="n"/>
    </row>
    <row r="866">
      <c r="A866" s="19" t="n"/>
      <c r="B866" s="20" t="n"/>
      <c r="C866" s="21">
        <f>IF(B866="","",DATE(YEAR(B866),MONTH(B866),1))</f>
        <v/>
      </c>
      <c r="D866" s="19" t="n"/>
      <c r="E866" s="19" t="n"/>
      <c r="F866" s="19" t="n"/>
      <c r="G866" s="19" t="n"/>
      <c r="H866" s="19" t="n"/>
      <c r="I866" s="19" t="n"/>
      <c r="J866" s="19" t="n"/>
      <c r="K866" s="20" t="n"/>
      <c r="L866" s="22">
        <f>IF(OR(B866="",K866=""),"",K866-B866)</f>
        <v/>
      </c>
      <c r="M866" s="19" t="n"/>
      <c r="N866" s="19" t="n"/>
      <c r="O866" s="20" t="n"/>
      <c r="P866" s="19" t="n"/>
    </row>
    <row r="867">
      <c r="A867" s="19" t="n"/>
      <c r="B867" s="20" t="n"/>
      <c r="C867" s="21">
        <f>IF(B867="","",DATE(YEAR(B867),MONTH(B867),1))</f>
        <v/>
      </c>
      <c r="D867" s="19" t="n"/>
      <c r="E867" s="19" t="n"/>
      <c r="F867" s="19" t="n"/>
      <c r="G867" s="19" t="n"/>
      <c r="H867" s="19" t="n"/>
      <c r="I867" s="19" t="n"/>
      <c r="J867" s="19" t="n"/>
      <c r="K867" s="20" t="n"/>
      <c r="L867" s="22">
        <f>IF(OR(B867="",K867=""),"",K867-B867)</f>
        <v/>
      </c>
      <c r="M867" s="19" t="n"/>
      <c r="N867" s="19" t="n"/>
      <c r="O867" s="20" t="n"/>
      <c r="P867" s="19" t="n"/>
    </row>
    <row r="868">
      <c r="A868" s="19" t="n"/>
      <c r="B868" s="20" t="n"/>
      <c r="C868" s="21">
        <f>IF(B868="","",DATE(YEAR(B868),MONTH(B868),1))</f>
        <v/>
      </c>
      <c r="D868" s="19" t="n"/>
      <c r="E868" s="19" t="n"/>
      <c r="F868" s="19" t="n"/>
      <c r="G868" s="19" t="n"/>
      <c r="H868" s="19" t="n"/>
      <c r="I868" s="19" t="n"/>
      <c r="J868" s="19" t="n"/>
      <c r="K868" s="20" t="n"/>
      <c r="L868" s="22">
        <f>IF(OR(B868="",K868=""),"",K868-B868)</f>
        <v/>
      </c>
      <c r="M868" s="19" t="n"/>
      <c r="N868" s="19" t="n"/>
      <c r="O868" s="20" t="n"/>
      <c r="P868" s="19" t="n"/>
    </row>
    <row r="869">
      <c r="A869" s="19" t="n"/>
      <c r="B869" s="20" t="n"/>
      <c r="C869" s="21">
        <f>IF(B869="","",DATE(YEAR(B869),MONTH(B869),1))</f>
        <v/>
      </c>
      <c r="D869" s="19" t="n"/>
      <c r="E869" s="19" t="n"/>
      <c r="F869" s="19" t="n"/>
      <c r="G869" s="19" t="n"/>
      <c r="H869" s="19" t="n"/>
      <c r="I869" s="19" t="n"/>
      <c r="J869" s="19" t="n"/>
      <c r="K869" s="20" t="n"/>
      <c r="L869" s="22">
        <f>IF(OR(B869="",K869=""),"",K869-B869)</f>
        <v/>
      </c>
      <c r="M869" s="19" t="n"/>
      <c r="N869" s="19" t="n"/>
      <c r="O869" s="20" t="n"/>
      <c r="P869" s="19" t="n"/>
    </row>
    <row r="870">
      <c r="A870" s="19" t="n"/>
      <c r="B870" s="20" t="n"/>
      <c r="C870" s="21">
        <f>IF(B870="","",DATE(YEAR(B870),MONTH(B870),1))</f>
        <v/>
      </c>
      <c r="D870" s="19" t="n"/>
      <c r="E870" s="19" t="n"/>
      <c r="F870" s="19" t="n"/>
      <c r="G870" s="19" t="n"/>
      <c r="H870" s="19" t="n"/>
      <c r="I870" s="19" t="n"/>
      <c r="J870" s="19" t="n"/>
      <c r="K870" s="20" t="n"/>
      <c r="L870" s="22">
        <f>IF(OR(B870="",K870=""),"",K870-B870)</f>
        <v/>
      </c>
      <c r="M870" s="19" t="n"/>
      <c r="N870" s="19" t="n"/>
      <c r="O870" s="20" t="n"/>
      <c r="P870" s="19" t="n"/>
    </row>
    <row r="871">
      <c r="A871" s="19" t="n"/>
      <c r="B871" s="20" t="n"/>
      <c r="C871" s="21">
        <f>IF(B871="","",DATE(YEAR(B871),MONTH(B871),1))</f>
        <v/>
      </c>
      <c r="D871" s="19" t="n"/>
      <c r="E871" s="19" t="n"/>
      <c r="F871" s="19" t="n"/>
      <c r="G871" s="19" t="n"/>
      <c r="H871" s="19" t="n"/>
      <c r="I871" s="19" t="n"/>
      <c r="J871" s="19" t="n"/>
      <c r="K871" s="20" t="n"/>
      <c r="L871" s="22">
        <f>IF(OR(B871="",K871=""),"",K871-B871)</f>
        <v/>
      </c>
      <c r="M871" s="19" t="n"/>
      <c r="N871" s="19" t="n"/>
      <c r="O871" s="20" t="n"/>
      <c r="P871" s="19" t="n"/>
    </row>
    <row r="872">
      <c r="A872" s="19" t="n"/>
      <c r="B872" s="20" t="n"/>
      <c r="C872" s="21">
        <f>IF(B872="","",DATE(YEAR(B872),MONTH(B872),1))</f>
        <v/>
      </c>
      <c r="D872" s="19" t="n"/>
      <c r="E872" s="19" t="n"/>
      <c r="F872" s="19" t="n"/>
      <c r="G872" s="19" t="n"/>
      <c r="H872" s="19" t="n"/>
      <c r="I872" s="19" t="n"/>
      <c r="J872" s="19" t="n"/>
      <c r="K872" s="20" t="n"/>
      <c r="L872" s="22">
        <f>IF(OR(B872="",K872=""),"",K872-B872)</f>
        <v/>
      </c>
      <c r="M872" s="19" t="n"/>
      <c r="N872" s="19" t="n"/>
      <c r="O872" s="20" t="n"/>
      <c r="P872" s="19" t="n"/>
    </row>
    <row r="873">
      <c r="A873" s="19" t="n"/>
      <c r="B873" s="20" t="n"/>
      <c r="C873" s="21">
        <f>IF(B873="","",DATE(YEAR(B873),MONTH(B873),1))</f>
        <v/>
      </c>
      <c r="D873" s="19" t="n"/>
      <c r="E873" s="19" t="n"/>
      <c r="F873" s="19" t="n"/>
      <c r="G873" s="19" t="n"/>
      <c r="H873" s="19" t="n"/>
      <c r="I873" s="19" t="n"/>
      <c r="J873" s="19" t="n"/>
      <c r="K873" s="20" t="n"/>
      <c r="L873" s="22">
        <f>IF(OR(B873="",K873=""),"",K873-B873)</f>
        <v/>
      </c>
      <c r="M873" s="19" t="n"/>
      <c r="N873" s="19" t="n"/>
      <c r="O873" s="20" t="n"/>
      <c r="P873" s="19" t="n"/>
    </row>
    <row r="874">
      <c r="A874" s="19" t="n"/>
      <c r="B874" s="20" t="n"/>
      <c r="C874" s="21">
        <f>IF(B874="","",DATE(YEAR(B874),MONTH(B874),1))</f>
        <v/>
      </c>
      <c r="D874" s="19" t="n"/>
      <c r="E874" s="19" t="n"/>
      <c r="F874" s="19" t="n"/>
      <c r="G874" s="19" t="n"/>
      <c r="H874" s="19" t="n"/>
      <c r="I874" s="19" t="n"/>
      <c r="J874" s="19" t="n"/>
      <c r="K874" s="20" t="n"/>
      <c r="L874" s="22">
        <f>IF(OR(B874="",K874=""),"",K874-B874)</f>
        <v/>
      </c>
      <c r="M874" s="19" t="n"/>
      <c r="N874" s="19" t="n"/>
      <c r="O874" s="20" t="n"/>
      <c r="P874" s="19" t="n"/>
    </row>
    <row r="875">
      <c r="A875" s="19" t="n"/>
      <c r="B875" s="20" t="n"/>
      <c r="C875" s="21">
        <f>IF(B875="","",DATE(YEAR(B875),MONTH(B875),1))</f>
        <v/>
      </c>
      <c r="D875" s="19" t="n"/>
      <c r="E875" s="19" t="n"/>
      <c r="F875" s="19" t="n"/>
      <c r="G875" s="19" t="n"/>
      <c r="H875" s="19" t="n"/>
      <c r="I875" s="19" t="n"/>
      <c r="J875" s="19" t="n"/>
      <c r="K875" s="20" t="n"/>
      <c r="L875" s="22">
        <f>IF(OR(B875="",K875=""),"",K875-B875)</f>
        <v/>
      </c>
      <c r="M875" s="19" t="n"/>
      <c r="N875" s="19" t="n"/>
      <c r="O875" s="20" t="n"/>
      <c r="P875" s="19" t="n"/>
    </row>
    <row r="876">
      <c r="A876" s="19" t="n"/>
      <c r="B876" s="20" t="n"/>
      <c r="C876" s="21">
        <f>IF(B876="","",DATE(YEAR(B876),MONTH(B876),1))</f>
        <v/>
      </c>
      <c r="D876" s="19" t="n"/>
      <c r="E876" s="19" t="n"/>
      <c r="F876" s="19" t="n"/>
      <c r="G876" s="19" t="n"/>
      <c r="H876" s="19" t="n"/>
      <c r="I876" s="19" t="n"/>
      <c r="J876" s="19" t="n"/>
      <c r="K876" s="20" t="n"/>
      <c r="L876" s="22">
        <f>IF(OR(B876="",K876=""),"",K876-B876)</f>
        <v/>
      </c>
      <c r="M876" s="19" t="n"/>
      <c r="N876" s="19" t="n"/>
      <c r="O876" s="20" t="n"/>
      <c r="P876" s="19" t="n"/>
    </row>
    <row r="877">
      <c r="A877" s="19" t="n"/>
      <c r="B877" s="20" t="n"/>
      <c r="C877" s="21">
        <f>IF(B877="","",DATE(YEAR(B877),MONTH(B877),1))</f>
        <v/>
      </c>
      <c r="D877" s="19" t="n"/>
      <c r="E877" s="19" t="n"/>
      <c r="F877" s="19" t="n"/>
      <c r="G877" s="19" t="n"/>
      <c r="H877" s="19" t="n"/>
      <c r="I877" s="19" t="n"/>
      <c r="J877" s="19" t="n"/>
      <c r="K877" s="20" t="n"/>
      <c r="L877" s="22">
        <f>IF(OR(B877="",K877=""),"",K877-B877)</f>
        <v/>
      </c>
      <c r="M877" s="19" t="n"/>
      <c r="N877" s="19" t="n"/>
      <c r="O877" s="20" t="n"/>
      <c r="P877" s="19" t="n"/>
    </row>
    <row r="878">
      <c r="A878" s="19" t="n"/>
      <c r="B878" s="20" t="n"/>
      <c r="C878" s="21">
        <f>IF(B878="","",DATE(YEAR(B878),MONTH(B878),1))</f>
        <v/>
      </c>
      <c r="D878" s="19" t="n"/>
      <c r="E878" s="19" t="n"/>
      <c r="F878" s="19" t="n"/>
      <c r="G878" s="19" t="n"/>
      <c r="H878" s="19" t="n"/>
      <c r="I878" s="19" t="n"/>
      <c r="J878" s="19" t="n"/>
      <c r="K878" s="20" t="n"/>
      <c r="L878" s="22">
        <f>IF(OR(B878="",K878=""),"",K878-B878)</f>
        <v/>
      </c>
      <c r="M878" s="19" t="n"/>
      <c r="N878" s="19" t="n"/>
      <c r="O878" s="20" t="n"/>
      <c r="P878" s="19" t="n"/>
    </row>
    <row r="879">
      <c r="A879" s="19" t="n"/>
      <c r="B879" s="20" t="n"/>
      <c r="C879" s="21">
        <f>IF(B879="","",DATE(YEAR(B879),MONTH(B879),1))</f>
        <v/>
      </c>
      <c r="D879" s="19" t="n"/>
      <c r="E879" s="19" t="n"/>
      <c r="F879" s="19" t="n"/>
      <c r="G879" s="19" t="n"/>
      <c r="H879" s="19" t="n"/>
      <c r="I879" s="19" t="n"/>
      <c r="J879" s="19" t="n"/>
      <c r="K879" s="20" t="n"/>
      <c r="L879" s="22">
        <f>IF(OR(B879="",K879=""),"",K879-B879)</f>
        <v/>
      </c>
      <c r="M879" s="19" t="n"/>
      <c r="N879" s="19" t="n"/>
      <c r="O879" s="20" t="n"/>
      <c r="P879" s="19" t="n"/>
    </row>
    <row r="880">
      <c r="A880" s="19" t="n"/>
      <c r="B880" s="20" t="n"/>
      <c r="C880" s="21">
        <f>IF(B880="","",DATE(YEAR(B880),MONTH(B880),1))</f>
        <v/>
      </c>
      <c r="D880" s="19" t="n"/>
      <c r="E880" s="19" t="n"/>
      <c r="F880" s="19" t="n"/>
      <c r="G880" s="19" t="n"/>
      <c r="H880" s="19" t="n"/>
      <c r="I880" s="19" t="n"/>
      <c r="J880" s="19" t="n"/>
      <c r="K880" s="20" t="n"/>
      <c r="L880" s="22">
        <f>IF(OR(B880="",K880=""),"",K880-B880)</f>
        <v/>
      </c>
      <c r="M880" s="19" t="n"/>
      <c r="N880" s="19" t="n"/>
      <c r="O880" s="20" t="n"/>
      <c r="P880" s="19" t="n"/>
    </row>
    <row r="881">
      <c r="A881" s="19" t="n"/>
      <c r="B881" s="20" t="n"/>
      <c r="C881" s="21">
        <f>IF(B881="","",DATE(YEAR(B881),MONTH(B881),1))</f>
        <v/>
      </c>
      <c r="D881" s="19" t="n"/>
      <c r="E881" s="19" t="n"/>
      <c r="F881" s="19" t="n"/>
      <c r="G881" s="19" t="n"/>
      <c r="H881" s="19" t="n"/>
      <c r="I881" s="19" t="n"/>
      <c r="J881" s="19" t="n"/>
      <c r="K881" s="20" t="n"/>
      <c r="L881" s="22">
        <f>IF(OR(B881="",K881=""),"",K881-B881)</f>
        <v/>
      </c>
      <c r="M881" s="19" t="n"/>
      <c r="N881" s="19" t="n"/>
      <c r="O881" s="20" t="n"/>
      <c r="P881" s="19" t="n"/>
    </row>
    <row r="882">
      <c r="A882" s="19" t="n"/>
      <c r="B882" s="20" t="n"/>
      <c r="C882" s="21">
        <f>IF(B882="","",DATE(YEAR(B882),MONTH(B882),1))</f>
        <v/>
      </c>
      <c r="D882" s="19" t="n"/>
      <c r="E882" s="19" t="n"/>
      <c r="F882" s="19" t="n"/>
      <c r="G882" s="19" t="n"/>
      <c r="H882" s="19" t="n"/>
      <c r="I882" s="19" t="n"/>
      <c r="J882" s="19" t="n"/>
      <c r="K882" s="20" t="n"/>
      <c r="L882" s="22">
        <f>IF(OR(B882="",K882=""),"",K882-B882)</f>
        <v/>
      </c>
      <c r="M882" s="19" t="n"/>
      <c r="N882" s="19" t="n"/>
      <c r="O882" s="20" t="n"/>
      <c r="P882" s="19" t="n"/>
    </row>
    <row r="883">
      <c r="A883" s="19" t="n"/>
      <c r="B883" s="20" t="n"/>
      <c r="C883" s="21">
        <f>IF(B883="","",DATE(YEAR(B883),MONTH(B883),1))</f>
        <v/>
      </c>
      <c r="D883" s="19" t="n"/>
      <c r="E883" s="19" t="n"/>
      <c r="F883" s="19" t="n"/>
      <c r="G883" s="19" t="n"/>
      <c r="H883" s="19" t="n"/>
      <c r="I883" s="19" t="n"/>
      <c r="J883" s="19" t="n"/>
      <c r="K883" s="20" t="n"/>
      <c r="L883" s="22">
        <f>IF(OR(B883="",K883=""),"",K883-B883)</f>
        <v/>
      </c>
      <c r="M883" s="19" t="n"/>
      <c r="N883" s="19" t="n"/>
      <c r="O883" s="20" t="n"/>
      <c r="P883" s="19" t="n"/>
    </row>
    <row r="884">
      <c r="A884" s="19" t="n"/>
      <c r="B884" s="20" t="n"/>
      <c r="C884" s="21">
        <f>IF(B884="","",DATE(YEAR(B884),MONTH(B884),1))</f>
        <v/>
      </c>
      <c r="D884" s="19" t="n"/>
      <c r="E884" s="19" t="n"/>
      <c r="F884" s="19" t="n"/>
      <c r="G884" s="19" t="n"/>
      <c r="H884" s="19" t="n"/>
      <c r="I884" s="19" t="n"/>
      <c r="J884" s="19" t="n"/>
      <c r="K884" s="20" t="n"/>
      <c r="L884" s="22">
        <f>IF(OR(B884="",K884=""),"",K884-B884)</f>
        <v/>
      </c>
      <c r="M884" s="19" t="n"/>
      <c r="N884" s="19" t="n"/>
      <c r="O884" s="20" t="n"/>
      <c r="P884" s="19" t="n"/>
    </row>
    <row r="885">
      <c r="A885" s="19" t="n"/>
      <c r="B885" s="20" t="n"/>
      <c r="C885" s="21">
        <f>IF(B885="","",DATE(YEAR(B885),MONTH(B885),1))</f>
        <v/>
      </c>
      <c r="D885" s="19" t="n"/>
      <c r="E885" s="19" t="n"/>
      <c r="F885" s="19" t="n"/>
      <c r="G885" s="19" t="n"/>
      <c r="H885" s="19" t="n"/>
      <c r="I885" s="19" t="n"/>
      <c r="J885" s="19" t="n"/>
      <c r="K885" s="20" t="n"/>
      <c r="L885" s="22">
        <f>IF(OR(B885="",K885=""),"",K885-B885)</f>
        <v/>
      </c>
      <c r="M885" s="19" t="n"/>
      <c r="N885" s="19" t="n"/>
      <c r="O885" s="20" t="n"/>
      <c r="P885" s="19" t="n"/>
    </row>
    <row r="886">
      <c r="A886" s="19" t="n"/>
      <c r="B886" s="20" t="n"/>
      <c r="C886" s="21">
        <f>IF(B886="","",DATE(YEAR(B886),MONTH(B886),1))</f>
        <v/>
      </c>
      <c r="D886" s="19" t="n"/>
      <c r="E886" s="19" t="n"/>
      <c r="F886" s="19" t="n"/>
      <c r="G886" s="19" t="n"/>
      <c r="H886" s="19" t="n"/>
      <c r="I886" s="19" t="n"/>
      <c r="J886" s="19" t="n"/>
      <c r="K886" s="20" t="n"/>
      <c r="L886" s="22">
        <f>IF(OR(B886="",K886=""),"",K886-B886)</f>
        <v/>
      </c>
      <c r="M886" s="19" t="n"/>
      <c r="N886" s="19" t="n"/>
      <c r="O886" s="20" t="n"/>
      <c r="P886" s="19" t="n"/>
    </row>
    <row r="887">
      <c r="A887" s="19" t="n"/>
      <c r="B887" s="20" t="n"/>
      <c r="C887" s="21">
        <f>IF(B887="","",DATE(YEAR(B887),MONTH(B887),1))</f>
        <v/>
      </c>
      <c r="D887" s="19" t="n"/>
      <c r="E887" s="19" t="n"/>
      <c r="F887" s="19" t="n"/>
      <c r="G887" s="19" t="n"/>
      <c r="H887" s="19" t="n"/>
      <c r="I887" s="19" t="n"/>
      <c r="J887" s="19" t="n"/>
      <c r="K887" s="20" t="n"/>
      <c r="L887" s="22">
        <f>IF(OR(B887="",K887=""),"",K887-B887)</f>
        <v/>
      </c>
      <c r="M887" s="19" t="n"/>
      <c r="N887" s="19" t="n"/>
      <c r="O887" s="20" t="n"/>
      <c r="P887" s="19" t="n"/>
    </row>
    <row r="888">
      <c r="A888" s="19" t="n"/>
      <c r="B888" s="20" t="n"/>
      <c r="C888" s="21">
        <f>IF(B888="","",DATE(YEAR(B888),MONTH(B888),1))</f>
        <v/>
      </c>
      <c r="D888" s="19" t="n"/>
      <c r="E888" s="19" t="n"/>
      <c r="F888" s="19" t="n"/>
      <c r="G888" s="19" t="n"/>
      <c r="H888" s="19" t="n"/>
      <c r="I888" s="19" t="n"/>
      <c r="J888" s="19" t="n"/>
      <c r="K888" s="20" t="n"/>
      <c r="L888" s="22">
        <f>IF(OR(B888="",K888=""),"",K888-B888)</f>
        <v/>
      </c>
      <c r="M888" s="19" t="n"/>
      <c r="N888" s="19" t="n"/>
      <c r="O888" s="20" t="n"/>
      <c r="P888" s="19" t="n"/>
    </row>
    <row r="889">
      <c r="A889" s="19" t="n"/>
      <c r="B889" s="20" t="n"/>
      <c r="C889" s="21">
        <f>IF(B889="","",DATE(YEAR(B889),MONTH(B889),1))</f>
        <v/>
      </c>
      <c r="D889" s="19" t="n"/>
      <c r="E889" s="19" t="n"/>
      <c r="F889" s="19" t="n"/>
      <c r="G889" s="19" t="n"/>
      <c r="H889" s="19" t="n"/>
      <c r="I889" s="19" t="n"/>
      <c r="J889" s="19" t="n"/>
      <c r="K889" s="20" t="n"/>
      <c r="L889" s="22">
        <f>IF(OR(B889="",K889=""),"",K889-B889)</f>
        <v/>
      </c>
      <c r="M889" s="19" t="n"/>
      <c r="N889" s="19" t="n"/>
      <c r="O889" s="20" t="n"/>
      <c r="P889" s="19" t="n"/>
    </row>
    <row r="890">
      <c r="A890" s="19" t="n"/>
      <c r="B890" s="20" t="n"/>
      <c r="C890" s="21">
        <f>IF(B890="","",DATE(YEAR(B890),MONTH(B890),1))</f>
        <v/>
      </c>
      <c r="D890" s="19" t="n"/>
      <c r="E890" s="19" t="n"/>
      <c r="F890" s="19" t="n"/>
      <c r="G890" s="19" t="n"/>
      <c r="H890" s="19" t="n"/>
      <c r="I890" s="19" t="n"/>
      <c r="J890" s="19" t="n"/>
      <c r="K890" s="20" t="n"/>
      <c r="L890" s="22">
        <f>IF(OR(B890="",K890=""),"",K890-B890)</f>
        <v/>
      </c>
      <c r="M890" s="19" t="n"/>
      <c r="N890" s="19" t="n"/>
      <c r="O890" s="20" t="n"/>
      <c r="P890" s="19" t="n"/>
    </row>
    <row r="891">
      <c r="A891" s="19" t="n"/>
      <c r="B891" s="20" t="n"/>
      <c r="C891" s="21">
        <f>IF(B891="","",DATE(YEAR(B891),MONTH(B891),1))</f>
        <v/>
      </c>
      <c r="D891" s="19" t="n"/>
      <c r="E891" s="19" t="n"/>
      <c r="F891" s="19" t="n"/>
      <c r="G891" s="19" t="n"/>
      <c r="H891" s="19" t="n"/>
      <c r="I891" s="19" t="n"/>
      <c r="J891" s="19" t="n"/>
      <c r="K891" s="20" t="n"/>
      <c r="L891" s="22">
        <f>IF(OR(B891="",K891=""),"",K891-B891)</f>
        <v/>
      </c>
      <c r="M891" s="19" t="n"/>
      <c r="N891" s="19" t="n"/>
      <c r="O891" s="20" t="n"/>
      <c r="P891" s="19" t="n"/>
    </row>
    <row r="892">
      <c r="A892" s="19" t="n"/>
      <c r="B892" s="20" t="n"/>
      <c r="C892" s="21">
        <f>IF(B892="","",DATE(YEAR(B892),MONTH(B892),1))</f>
        <v/>
      </c>
      <c r="D892" s="19" t="n"/>
      <c r="E892" s="19" t="n"/>
      <c r="F892" s="19" t="n"/>
      <c r="G892" s="19" t="n"/>
      <c r="H892" s="19" t="n"/>
      <c r="I892" s="19" t="n"/>
      <c r="J892" s="19" t="n"/>
      <c r="K892" s="20" t="n"/>
      <c r="L892" s="22">
        <f>IF(OR(B892="",K892=""),"",K892-B892)</f>
        <v/>
      </c>
      <c r="M892" s="19" t="n"/>
      <c r="N892" s="19" t="n"/>
      <c r="O892" s="20" t="n"/>
      <c r="P892" s="19" t="n"/>
    </row>
    <row r="893">
      <c r="A893" s="19" t="n"/>
      <c r="B893" s="20" t="n"/>
      <c r="C893" s="21">
        <f>IF(B893="","",DATE(YEAR(B893),MONTH(B893),1))</f>
        <v/>
      </c>
      <c r="D893" s="19" t="n"/>
      <c r="E893" s="19" t="n"/>
      <c r="F893" s="19" t="n"/>
      <c r="G893" s="19" t="n"/>
      <c r="H893" s="19" t="n"/>
      <c r="I893" s="19" t="n"/>
      <c r="J893" s="19" t="n"/>
      <c r="K893" s="20" t="n"/>
      <c r="L893" s="22">
        <f>IF(OR(B893="",K893=""),"",K893-B893)</f>
        <v/>
      </c>
      <c r="M893" s="19" t="n"/>
      <c r="N893" s="19" t="n"/>
      <c r="O893" s="20" t="n"/>
      <c r="P893" s="19" t="n"/>
    </row>
    <row r="894">
      <c r="A894" s="19" t="n"/>
      <c r="B894" s="20" t="n"/>
      <c r="C894" s="21">
        <f>IF(B894="","",DATE(YEAR(B894),MONTH(B894),1))</f>
        <v/>
      </c>
      <c r="D894" s="19" t="n"/>
      <c r="E894" s="19" t="n"/>
      <c r="F894" s="19" t="n"/>
      <c r="G894" s="19" t="n"/>
      <c r="H894" s="19" t="n"/>
      <c r="I894" s="19" t="n"/>
      <c r="J894" s="19" t="n"/>
      <c r="K894" s="20" t="n"/>
      <c r="L894" s="22">
        <f>IF(OR(B894="",K894=""),"",K894-B894)</f>
        <v/>
      </c>
      <c r="M894" s="19" t="n"/>
      <c r="N894" s="19" t="n"/>
      <c r="O894" s="20" t="n"/>
      <c r="P894" s="19" t="n"/>
    </row>
    <row r="895">
      <c r="A895" s="19" t="n"/>
      <c r="B895" s="20" t="n"/>
      <c r="C895" s="21">
        <f>IF(B895="","",DATE(YEAR(B895),MONTH(B895),1))</f>
        <v/>
      </c>
      <c r="D895" s="19" t="n"/>
      <c r="E895" s="19" t="n"/>
      <c r="F895" s="19" t="n"/>
      <c r="G895" s="19" t="n"/>
      <c r="H895" s="19" t="n"/>
      <c r="I895" s="19" t="n"/>
      <c r="J895" s="19" t="n"/>
      <c r="K895" s="20" t="n"/>
      <c r="L895" s="22">
        <f>IF(OR(B895="",K895=""),"",K895-B895)</f>
        <v/>
      </c>
      <c r="M895" s="19" t="n"/>
      <c r="N895" s="19" t="n"/>
      <c r="O895" s="20" t="n"/>
      <c r="P895" s="19" t="n"/>
    </row>
    <row r="896">
      <c r="A896" s="19" t="n"/>
      <c r="B896" s="20" t="n"/>
      <c r="C896" s="21">
        <f>IF(B896="","",DATE(YEAR(B896),MONTH(B896),1))</f>
        <v/>
      </c>
      <c r="D896" s="19" t="n"/>
      <c r="E896" s="19" t="n"/>
      <c r="F896" s="19" t="n"/>
      <c r="G896" s="19" t="n"/>
      <c r="H896" s="19" t="n"/>
      <c r="I896" s="19" t="n"/>
      <c r="J896" s="19" t="n"/>
      <c r="K896" s="20" t="n"/>
      <c r="L896" s="22">
        <f>IF(OR(B896="",K896=""),"",K896-B896)</f>
        <v/>
      </c>
      <c r="M896" s="19" t="n"/>
      <c r="N896" s="19" t="n"/>
      <c r="O896" s="20" t="n"/>
      <c r="P896" s="19" t="n"/>
    </row>
    <row r="897">
      <c r="A897" s="19" t="n"/>
      <c r="B897" s="20" t="n"/>
      <c r="C897" s="21">
        <f>IF(B897="","",DATE(YEAR(B897),MONTH(B897),1))</f>
        <v/>
      </c>
      <c r="D897" s="19" t="n"/>
      <c r="E897" s="19" t="n"/>
      <c r="F897" s="19" t="n"/>
      <c r="G897" s="19" t="n"/>
      <c r="H897" s="19" t="n"/>
      <c r="I897" s="19" t="n"/>
      <c r="J897" s="19" t="n"/>
      <c r="K897" s="20" t="n"/>
      <c r="L897" s="22">
        <f>IF(OR(B897="",K897=""),"",K897-B897)</f>
        <v/>
      </c>
      <c r="M897" s="19" t="n"/>
      <c r="N897" s="19" t="n"/>
      <c r="O897" s="20" t="n"/>
      <c r="P897" s="19" t="n"/>
    </row>
    <row r="898">
      <c r="A898" s="19" t="n"/>
      <c r="B898" s="20" t="n"/>
      <c r="C898" s="21">
        <f>IF(B898="","",DATE(YEAR(B898),MONTH(B898),1))</f>
        <v/>
      </c>
      <c r="D898" s="19" t="n"/>
      <c r="E898" s="19" t="n"/>
      <c r="F898" s="19" t="n"/>
      <c r="G898" s="19" t="n"/>
      <c r="H898" s="19" t="n"/>
      <c r="I898" s="19" t="n"/>
      <c r="J898" s="19" t="n"/>
      <c r="K898" s="20" t="n"/>
      <c r="L898" s="22">
        <f>IF(OR(B898="",K898=""),"",K898-B898)</f>
        <v/>
      </c>
      <c r="M898" s="19" t="n"/>
      <c r="N898" s="19" t="n"/>
      <c r="O898" s="20" t="n"/>
      <c r="P898" s="19" t="n"/>
    </row>
    <row r="899">
      <c r="A899" s="19" t="n"/>
      <c r="B899" s="20" t="n"/>
      <c r="C899" s="21">
        <f>IF(B899="","",DATE(YEAR(B899),MONTH(B899),1))</f>
        <v/>
      </c>
      <c r="D899" s="19" t="n"/>
      <c r="E899" s="19" t="n"/>
      <c r="F899" s="19" t="n"/>
      <c r="G899" s="19" t="n"/>
      <c r="H899" s="19" t="n"/>
      <c r="I899" s="19" t="n"/>
      <c r="J899" s="19" t="n"/>
      <c r="K899" s="20" t="n"/>
      <c r="L899" s="22">
        <f>IF(OR(B899="",K899=""),"",K899-B899)</f>
        <v/>
      </c>
      <c r="M899" s="19" t="n"/>
      <c r="N899" s="19" t="n"/>
      <c r="O899" s="20" t="n"/>
      <c r="P899" s="19" t="n"/>
    </row>
    <row r="900">
      <c r="A900" s="19" t="n"/>
      <c r="B900" s="20" t="n"/>
      <c r="C900" s="21">
        <f>IF(B900="","",DATE(YEAR(B900),MONTH(B900),1))</f>
        <v/>
      </c>
      <c r="D900" s="19" t="n"/>
      <c r="E900" s="19" t="n"/>
      <c r="F900" s="19" t="n"/>
      <c r="G900" s="19" t="n"/>
      <c r="H900" s="19" t="n"/>
      <c r="I900" s="19" t="n"/>
      <c r="J900" s="19" t="n"/>
      <c r="K900" s="20" t="n"/>
      <c r="L900" s="22">
        <f>IF(OR(B900="",K900=""),"",K900-B900)</f>
        <v/>
      </c>
      <c r="M900" s="19" t="n"/>
      <c r="N900" s="19" t="n"/>
      <c r="O900" s="20" t="n"/>
      <c r="P900" s="19" t="n"/>
    </row>
    <row r="901">
      <c r="A901" s="19" t="n"/>
      <c r="B901" s="20" t="n"/>
      <c r="C901" s="21">
        <f>IF(B901="","",DATE(YEAR(B901),MONTH(B901),1))</f>
        <v/>
      </c>
      <c r="D901" s="19" t="n"/>
      <c r="E901" s="19" t="n"/>
      <c r="F901" s="19" t="n"/>
      <c r="G901" s="19" t="n"/>
      <c r="H901" s="19" t="n"/>
      <c r="I901" s="19" t="n"/>
      <c r="J901" s="19" t="n"/>
      <c r="K901" s="20" t="n"/>
      <c r="L901" s="22">
        <f>IF(OR(B901="",K901=""),"",K901-B901)</f>
        <v/>
      </c>
      <c r="M901" s="19" t="n"/>
      <c r="N901" s="19" t="n"/>
      <c r="O901" s="20" t="n"/>
      <c r="P901" s="19" t="n"/>
    </row>
    <row r="902">
      <c r="A902" s="19" t="n"/>
      <c r="B902" s="20" t="n"/>
      <c r="C902" s="21">
        <f>IF(B902="","",DATE(YEAR(B902),MONTH(B902),1))</f>
        <v/>
      </c>
      <c r="D902" s="19" t="n"/>
      <c r="E902" s="19" t="n"/>
      <c r="F902" s="19" t="n"/>
      <c r="G902" s="19" t="n"/>
      <c r="H902" s="19" t="n"/>
      <c r="I902" s="19" t="n"/>
      <c r="J902" s="19" t="n"/>
      <c r="K902" s="20" t="n"/>
      <c r="L902" s="22">
        <f>IF(OR(B902="",K902=""),"",K902-B902)</f>
        <v/>
      </c>
      <c r="M902" s="19" t="n"/>
      <c r="N902" s="19" t="n"/>
      <c r="O902" s="20" t="n"/>
      <c r="P902" s="19" t="n"/>
    </row>
    <row r="903">
      <c r="A903" s="19" t="n"/>
      <c r="B903" s="20" t="n"/>
      <c r="C903" s="21">
        <f>IF(B903="","",DATE(YEAR(B903),MONTH(B903),1))</f>
        <v/>
      </c>
      <c r="D903" s="19" t="n"/>
      <c r="E903" s="19" t="n"/>
      <c r="F903" s="19" t="n"/>
      <c r="G903" s="19" t="n"/>
      <c r="H903" s="19" t="n"/>
      <c r="I903" s="19" t="n"/>
      <c r="J903" s="19" t="n"/>
      <c r="K903" s="20" t="n"/>
      <c r="L903" s="22">
        <f>IF(OR(B903="",K903=""),"",K903-B903)</f>
        <v/>
      </c>
      <c r="M903" s="19" t="n"/>
      <c r="N903" s="19" t="n"/>
      <c r="O903" s="20" t="n"/>
      <c r="P903" s="19" t="n"/>
    </row>
    <row r="904">
      <c r="A904" s="19" t="n"/>
      <c r="B904" s="20" t="n"/>
      <c r="C904" s="21">
        <f>IF(B904="","",DATE(YEAR(B904),MONTH(B904),1))</f>
        <v/>
      </c>
      <c r="D904" s="19" t="n"/>
      <c r="E904" s="19" t="n"/>
      <c r="F904" s="19" t="n"/>
      <c r="G904" s="19" t="n"/>
      <c r="H904" s="19" t="n"/>
      <c r="I904" s="19" t="n"/>
      <c r="J904" s="19" t="n"/>
      <c r="K904" s="20" t="n"/>
      <c r="L904" s="22">
        <f>IF(OR(B904="",K904=""),"",K904-B904)</f>
        <v/>
      </c>
      <c r="M904" s="19" t="n"/>
      <c r="N904" s="19" t="n"/>
      <c r="O904" s="20" t="n"/>
      <c r="P904" s="19" t="n"/>
    </row>
    <row r="905">
      <c r="A905" s="19" t="n"/>
      <c r="B905" s="20" t="n"/>
      <c r="C905" s="21">
        <f>IF(B905="","",DATE(YEAR(B905),MONTH(B905),1))</f>
        <v/>
      </c>
      <c r="D905" s="19" t="n"/>
      <c r="E905" s="19" t="n"/>
      <c r="F905" s="19" t="n"/>
      <c r="G905" s="19" t="n"/>
      <c r="H905" s="19" t="n"/>
      <c r="I905" s="19" t="n"/>
      <c r="J905" s="19" t="n"/>
      <c r="K905" s="20" t="n"/>
      <c r="L905" s="22">
        <f>IF(OR(B905="",K905=""),"",K905-B905)</f>
        <v/>
      </c>
      <c r="M905" s="19" t="n"/>
      <c r="N905" s="19" t="n"/>
      <c r="O905" s="20" t="n"/>
      <c r="P905" s="19" t="n"/>
    </row>
    <row r="906">
      <c r="A906" s="19" t="n"/>
      <c r="B906" s="20" t="n"/>
      <c r="C906" s="21">
        <f>IF(B906="","",DATE(YEAR(B906),MONTH(B906),1))</f>
        <v/>
      </c>
      <c r="D906" s="19" t="n"/>
      <c r="E906" s="19" t="n"/>
      <c r="F906" s="19" t="n"/>
      <c r="G906" s="19" t="n"/>
      <c r="H906" s="19" t="n"/>
      <c r="I906" s="19" t="n"/>
      <c r="J906" s="19" t="n"/>
      <c r="K906" s="20" t="n"/>
      <c r="L906" s="22">
        <f>IF(OR(B906="",K906=""),"",K906-B906)</f>
        <v/>
      </c>
      <c r="M906" s="19" t="n"/>
      <c r="N906" s="19" t="n"/>
      <c r="O906" s="20" t="n"/>
      <c r="P906" s="19" t="n"/>
    </row>
    <row r="907">
      <c r="A907" s="19" t="n"/>
      <c r="B907" s="20" t="n"/>
      <c r="C907" s="21">
        <f>IF(B907="","",DATE(YEAR(B907),MONTH(B907),1))</f>
        <v/>
      </c>
      <c r="D907" s="19" t="n"/>
      <c r="E907" s="19" t="n"/>
      <c r="F907" s="19" t="n"/>
      <c r="G907" s="19" t="n"/>
      <c r="H907" s="19" t="n"/>
      <c r="I907" s="19" t="n"/>
      <c r="J907" s="19" t="n"/>
      <c r="K907" s="20" t="n"/>
      <c r="L907" s="22">
        <f>IF(OR(B907="",K907=""),"",K907-B907)</f>
        <v/>
      </c>
      <c r="M907" s="19" t="n"/>
      <c r="N907" s="19" t="n"/>
      <c r="O907" s="20" t="n"/>
      <c r="P907" s="19" t="n"/>
    </row>
    <row r="908">
      <c r="A908" s="19" t="n"/>
      <c r="B908" s="20" t="n"/>
      <c r="C908" s="21">
        <f>IF(B908="","",DATE(YEAR(B908),MONTH(B908),1))</f>
        <v/>
      </c>
      <c r="D908" s="19" t="n"/>
      <c r="E908" s="19" t="n"/>
      <c r="F908" s="19" t="n"/>
      <c r="G908" s="19" t="n"/>
      <c r="H908" s="19" t="n"/>
      <c r="I908" s="19" t="n"/>
      <c r="J908" s="19" t="n"/>
      <c r="K908" s="20" t="n"/>
      <c r="L908" s="22">
        <f>IF(OR(B908="",K908=""),"",K908-B908)</f>
        <v/>
      </c>
      <c r="M908" s="19" t="n"/>
      <c r="N908" s="19" t="n"/>
      <c r="O908" s="20" t="n"/>
      <c r="P908" s="19" t="n"/>
    </row>
    <row r="909">
      <c r="A909" s="19" t="n"/>
      <c r="B909" s="20" t="n"/>
      <c r="C909" s="21">
        <f>IF(B909="","",DATE(YEAR(B909),MONTH(B909),1))</f>
        <v/>
      </c>
      <c r="D909" s="19" t="n"/>
      <c r="E909" s="19" t="n"/>
      <c r="F909" s="19" t="n"/>
      <c r="G909" s="19" t="n"/>
      <c r="H909" s="19" t="n"/>
      <c r="I909" s="19" t="n"/>
      <c r="J909" s="19" t="n"/>
      <c r="K909" s="20" t="n"/>
      <c r="L909" s="22">
        <f>IF(OR(B909="",K909=""),"",K909-B909)</f>
        <v/>
      </c>
      <c r="M909" s="19" t="n"/>
      <c r="N909" s="19" t="n"/>
      <c r="O909" s="20" t="n"/>
      <c r="P909" s="19" t="n"/>
    </row>
    <row r="910">
      <c r="A910" s="19" t="n"/>
      <c r="B910" s="20" t="n"/>
      <c r="C910" s="21">
        <f>IF(B910="","",DATE(YEAR(B910),MONTH(B910),1))</f>
        <v/>
      </c>
      <c r="D910" s="19" t="n"/>
      <c r="E910" s="19" t="n"/>
      <c r="F910" s="19" t="n"/>
      <c r="G910" s="19" t="n"/>
      <c r="H910" s="19" t="n"/>
      <c r="I910" s="19" t="n"/>
      <c r="J910" s="19" t="n"/>
      <c r="K910" s="20" t="n"/>
      <c r="L910" s="22">
        <f>IF(OR(B910="",K910=""),"",K910-B910)</f>
        <v/>
      </c>
      <c r="M910" s="19" t="n"/>
      <c r="N910" s="19" t="n"/>
      <c r="O910" s="20" t="n"/>
      <c r="P910" s="19" t="n"/>
    </row>
    <row r="911">
      <c r="A911" s="19" t="n"/>
      <c r="B911" s="20" t="n"/>
      <c r="C911" s="21">
        <f>IF(B911="","",DATE(YEAR(B911),MONTH(B911),1))</f>
        <v/>
      </c>
      <c r="D911" s="19" t="n"/>
      <c r="E911" s="19" t="n"/>
      <c r="F911" s="19" t="n"/>
      <c r="G911" s="19" t="n"/>
      <c r="H911" s="19" t="n"/>
      <c r="I911" s="19" t="n"/>
      <c r="J911" s="19" t="n"/>
      <c r="K911" s="20" t="n"/>
      <c r="L911" s="22">
        <f>IF(OR(B911="",K911=""),"",K911-B911)</f>
        <v/>
      </c>
      <c r="M911" s="19" t="n"/>
      <c r="N911" s="19" t="n"/>
      <c r="O911" s="20" t="n"/>
      <c r="P911" s="19" t="n"/>
    </row>
    <row r="912">
      <c r="A912" s="19" t="n"/>
      <c r="B912" s="20" t="n"/>
      <c r="C912" s="21">
        <f>IF(B912="","",DATE(YEAR(B912),MONTH(B912),1))</f>
        <v/>
      </c>
      <c r="D912" s="19" t="n"/>
      <c r="E912" s="19" t="n"/>
      <c r="F912" s="19" t="n"/>
      <c r="G912" s="19" t="n"/>
      <c r="H912" s="19" t="n"/>
      <c r="I912" s="19" t="n"/>
      <c r="J912" s="19" t="n"/>
      <c r="K912" s="20" t="n"/>
      <c r="L912" s="22">
        <f>IF(OR(B912="",K912=""),"",K912-B912)</f>
        <v/>
      </c>
      <c r="M912" s="19" t="n"/>
      <c r="N912" s="19" t="n"/>
      <c r="O912" s="20" t="n"/>
      <c r="P912" s="19" t="n"/>
    </row>
    <row r="913">
      <c r="A913" s="19" t="n"/>
      <c r="B913" s="20" t="n"/>
      <c r="C913" s="21">
        <f>IF(B913="","",DATE(YEAR(B913),MONTH(B913),1))</f>
        <v/>
      </c>
      <c r="D913" s="19" t="n"/>
      <c r="E913" s="19" t="n"/>
      <c r="F913" s="19" t="n"/>
      <c r="G913" s="19" t="n"/>
      <c r="H913" s="19" t="n"/>
      <c r="I913" s="19" t="n"/>
      <c r="J913" s="19" t="n"/>
      <c r="K913" s="20" t="n"/>
      <c r="L913" s="22">
        <f>IF(OR(B913="",K913=""),"",K913-B913)</f>
        <v/>
      </c>
      <c r="M913" s="19" t="n"/>
      <c r="N913" s="19" t="n"/>
      <c r="O913" s="20" t="n"/>
      <c r="P913" s="19" t="n"/>
    </row>
    <row r="914">
      <c r="A914" s="19" t="n"/>
      <c r="B914" s="20" t="n"/>
      <c r="C914" s="21">
        <f>IF(B914="","",DATE(YEAR(B914),MONTH(B914),1))</f>
        <v/>
      </c>
      <c r="D914" s="19" t="n"/>
      <c r="E914" s="19" t="n"/>
      <c r="F914" s="19" t="n"/>
      <c r="G914" s="19" t="n"/>
      <c r="H914" s="19" t="n"/>
      <c r="I914" s="19" t="n"/>
      <c r="J914" s="19" t="n"/>
      <c r="K914" s="20" t="n"/>
      <c r="L914" s="22">
        <f>IF(OR(B914="",K914=""),"",K914-B914)</f>
        <v/>
      </c>
      <c r="M914" s="19" t="n"/>
      <c r="N914" s="19" t="n"/>
      <c r="O914" s="20" t="n"/>
      <c r="P914" s="19" t="n"/>
    </row>
    <row r="915">
      <c r="A915" s="19" t="n"/>
      <c r="B915" s="20" t="n"/>
      <c r="C915" s="21">
        <f>IF(B915="","",DATE(YEAR(B915),MONTH(B915),1))</f>
        <v/>
      </c>
      <c r="D915" s="19" t="n"/>
      <c r="E915" s="19" t="n"/>
      <c r="F915" s="19" t="n"/>
      <c r="G915" s="19" t="n"/>
      <c r="H915" s="19" t="n"/>
      <c r="I915" s="19" t="n"/>
      <c r="J915" s="19" t="n"/>
      <c r="K915" s="20" t="n"/>
      <c r="L915" s="22">
        <f>IF(OR(B915="",K915=""),"",K915-B915)</f>
        <v/>
      </c>
      <c r="M915" s="19" t="n"/>
      <c r="N915" s="19" t="n"/>
      <c r="O915" s="20" t="n"/>
      <c r="P915" s="19" t="n"/>
    </row>
    <row r="916">
      <c r="A916" s="19" t="n"/>
      <c r="B916" s="20" t="n"/>
      <c r="C916" s="21">
        <f>IF(B916="","",DATE(YEAR(B916),MONTH(B916),1))</f>
        <v/>
      </c>
      <c r="D916" s="19" t="n"/>
      <c r="E916" s="19" t="n"/>
      <c r="F916" s="19" t="n"/>
      <c r="G916" s="19" t="n"/>
      <c r="H916" s="19" t="n"/>
      <c r="I916" s="19" t="n"/>
      <c r="J916" s="19" t="n"/>
      <c r="K916" s="20" t="n"/>
      <c r="L916" s="22">
        <f>IF(OR(B916="",K916=""),"",K916-B916)</f>
        <v/>
      </c>
      <c r="M916" s="19" t="n"/>
      <c r="N916" s="19" t="n"/>
      <c r="O916" s="20" t="n"/>
      <c r="P916" s="19" t="n"/>
    </row>
    <row r="917">
      <c r="A917" s="19" t="n"/>
      <c r="B917" s="20" t="n"/>
      <c r="C917" s="21">
        <f>IF(B917="","",DATE(YEAR(B917),MONTH(B917),1))</f>
        <v/>
      </c>
      <c r="D917" s="19" t="n"/>
      <c r="E917" s="19" t="n"/>
      <c r="F917" s="19" t="n"/>
      <c r="G917" s="19" t="n"/>
      <c r="H917" s="19" t="n"/>
      <c r="I917" s="19" t="n"/>
      <c r="J917" s="19" t="n"/>
      <c r="K917" s="20" t="n"/>
      <c r="L917" s="22">
        <f>IF(OR(B917="",K917=""),"",K917-B917)</f>
        <v/>
      </c>
      <c r="M917" s="19" t="n"/>
      <c r="N917" s="19" t="n"/>
      <c r="O917" s="20" t="n"/>
      <c r="P917" s="19" t="n"/>
    </row>
    <row r="918">
      <c r="A918" s="19" t="n"/>
      <c r="B918" s="20" t="n"/>
      <c r="C918" s="21">
        <f>IF(B918="","",DATE(YEAR(B918),MONTH(B918),1))</f>
        <v/>
      </c>
      <c r="D918" s="19" t="n"/>
      <c r="E918" s="19" t="n"/>
      <c r="F918" s="19" t="n"/>
      <c r="G918" s="19" t="n"/>
      <c r="H918" s="19" t="n"/>
      <c r="I918" s="19" t="n"/>
      <c r="J918" s="19" t="n"/>
      <c r="K918" s="20" t="n"/>
      <c r="L918" s="22">
        <f>IF(OR(B918="",K918=""),"",K918-B918)</f>
        <v/>
      </c>
      <c r="M918" s="19" t="n"/>
      <c r="N918" s="19" t="n"/>
      <c r="O918" s="20" t="n"/>
      <c r="P918" s="19" t="n"/>
    </row>
    <row r="919">
      <c r="A919" s="19" t="n"/>
      <c r="B919" s="20" t="n"/>
      <c r="C919" s="21">
        <f>IF(B919="","",DATE(YEAR(B919),MONTH(B919),1))</f>
        <v/>
      </c>
      <c r="D919" s="19" t="n"/>
      <c r="E919" s="19" t="n"/>
      <c r="F919" s="19" t="n"/>
      <c r="G919" s="19" t="n"/>
      <c r="H919" s="19" t="n"/>
      <c r="I919" s="19" t="n"/>
      <c r="J919" s="19" t="n"/>
      <c r="K919" s="20" t="n"/>
      <c r="L919" s="22">
        <f>IF(OR(B919="",K919=""),"",K919-B919)</f>
        <v/>
      </c>
      <c r="M919" s="19" t="n"/>
      <c r="N919" s="19" t="n"/>
      <c r="O919" s="20" t="n"/>
      <c r="P919" s="19" t="n"/>
    </row>
    <row r="920">
      <c r="A920" s="19" t="n"/>
      <c r="B920" s="20" t="n"/>
      <c r="C920" s="21">
        <f>IF(B920="","",DATE(YEAR(B920),MONTH(B920),1))</f>
        <v/>
      </c>
      <c r="D920" s="19" t="n"/>
      <c r="E920" s="19" t="n"/>
      <c r="F920" s="19" t="n"/>
      <c r="G920" s="19" t="n"/>
      <c r="H920" s="19" t="n"/>
      <c r="I920" s="19" t="n"/>
      <c r="J920" s="19" t="n"/>
      <c r="K920" s="20" t="n"/>
      <c r="L920" s="22">
        <f>IF(OR(B920="",K920=""),"",K920-B920)</f>
        <v/>
      </c>
      <c r="M920" s="19" t="n"/>
      <c r="N920" s="19" t="n"/>
      <c r="O920" s="20" t="n"/>
      <c r="P920" s="19" t="n"/>
    </row>
    <row r="921">
      <c r="A921" s="19" t="n"/>
      <c r="B921" s="20" t="n"/>
      <c r="C921" s="21">
        <f>IF(B921="","",DATE(YEAR(B921),MONTH(B921),1))</f>
        <v/>
      </c>
      <c r="D921" s="19" t="n"/>
      <c r="E921" s="19" t="n"/>
      <c r="F921" s="19" t="n"/>
      <c r="G921" s="19" t="n"/>
      <c r="H921" s="19" t="n"/>
      <c r="I921" s="19" t="n"/>
      <c r="J921" s="19" t="n"/>
      <c r="K921" s="20" t="n"/>
      <c r="L921" s="22">
        <f>IF(OR(B921="",K921=""),"",K921-B921)</f>
        <v/>
      </c>
      <c r="M921" s="19" t="n"/>
      <c r="N921" s="19" t="n"/>
      <c r="O921" s="20" t="n"/>
      <c r="P921" s="19" t="n"/>
    </row>
    <row r="922">
      <c r="A922" s="19" t="n"/>
      <c r="B922" s="20" t="n"/>
      <c r="C922" s="21">
        <f>IF(B922="","",DATE(YEAR(B922),MONTH(B922),1))</f>
        <v/>
      </c>
      <c r="D922" s="19" t="n"/>
      <c r="E922" s="19" t="n"/>
      <c r="F922" s="19" t="n"/>
      <c r="G922" s="19" t="n"/>
      <c r="H922" s="19" t="n"/>
      <c r="I922" s="19" t="n"/>
      <c r="J922" s="19" t="n"/>
      <c r="K922" s="20" t="n"/>
      <c r="L922" s="22">
        <f>IF(OR(B922="",K922=""),"",K922-B922)</f>
        <v/>
      </c>
      <c r="M922" s="19" t="n"/>
      <c r="N922" s="19" t="n"/>
      <c r="O922" s="20" t="n"/>
      <c r="P922" s="19" t="n"/>
    </row>
    <row r="923">
      <c r="A923" s="19" t="n"/>
      <c r="B923" s="20" t="n"/>
      <c r="C923" s="21">
        <f>IF(B923="","",DATE(YEAR(B923),MONTH(B923),1))</f>
        <v/>
      </c>
      <c r="D923" s="19" t="n"/>
      <c r="E923" s="19" t="n"/>
      <c r="F923" s="19" t="n"/>
      <c r="G923" s="19" t="n"/>
      <c r="H923" s="19" t="n"/>
      <c r="I923" s="19" t="n"/>
      <c r="J923" s="19" t="n"/>
      <c r="K923" s="20" t="n"/>
      <c r="L923" s="22">
        <f>IF(OR(B923="",K923=""),"",K923-B923)</f>
        <v/>
      </c>
      <c r="M923" s="19" t="n"/>
      <c r="N923" s="19" t="n"/>
      <c r="O923" s="20" t="n"/>
      <c r="P923" s="19" t="n"/>
    </row>
    <row r="924">
      <c r="A924" s="19" t="n"/>
      <c r="B924" s="20" t="n"/>
      <c r="C924" s="21">
        <f>IF(B924="","",DATE(YEAR(B924),MONTH(B924),1))</f>
        <v/>
      </c>
      <c r="D924" s="19" t="n"/>
      <c r="E924" s="19" t="n"/>
      <c r="F924" s="19" t="n"/>
      <c r="G924" s="19" t="n"/>
      <c r="H924" s="19" t="n"/>
      <c r="I924" s="19" t="n"/>
      <c r="J924" s="19" t="n"/>
      <c r="K924" s="20" t="n"/>
      <c r="L924" s="22">
        <f>IF(OR(B924="",K924=""),"",K924-B924)</f>
        <v/>
      </c>
      <c r="M924" s="19" t="n"/>
      <c r="N924" s="19" t="n"/>
      <c r="O924" s="20" t="n"/>
      <c r="P924" s="19" t="n"/>
    </row>
    <row r="925">
      <c r="A925" s="19" t="n"/>
      <c r="B925" s="20" t="n"/>
      <c r="C925" s="21">
        <f>IF(B925="","",DATE(YEAR(B925),MONTH(B925),1))</f>
        <v/>
      </c>
      <c r="D925" s="19" t="n"/>
      <c r="E925" s="19" t="n"/>
      <c r="F925" s="19" t="n"/>
      <c r="G925" s="19" t="n"/>
      <c r="H925" s="19" t="n"/>
      <c r="I925" s="19" t="n"/>
      <c r="J925" s="19" t="n"/>
      <c r="K925" s="20" t="n"/>
      <c r="L925" s="22">
        <f>IF(OR(B925="",K925=""),"",K925-B925)</f>
        <v/>
      </c>
      <c r="M925" s="19" t="n"/>
      <c r="N925" s="19" t="n"/>
      <c r="O925" s="20" t="n"/>
      <c r="P925" s="19" t="n"/>
    </row>
    <row r="926">
      <c r="A926" s="19" t="n"/>
      <c r="B926" s="20" t="n"/>
      <c r="C926" s="21">
        <f>IF(B926="","",DATE(YEAR(B926),MONTH(B926),1))</f>
        <v/>
      </c>
      <c r="D926" s="19" t="n"/>
      <c r="E926" s="19" t="n"/>
      <c r="F926" s="19" t="n"/>
      <c r="G926" s="19" t="n"/>
      <c r="H926" s="19" t="n"/>
      <c r="I926" s="19" t="n"/>
      <c r="J926" s="19" t="n"/>
      <c r="K926" s="20" t="n"/>
      <c r="L926" s="22">
        <f>IF(OR(B926="",K926=""),"",K926-B926)</f>
        <v/>
      </c>
      <c r="M926" s="19" t="n"/>
      <c r="N926" s="19" t="n"/>
      <c r="O926" s="20" t="n"/>
      <c r="P926" s="19" t="n"/>
    </row>
    <row r="927">
      <c r="A927" s="19" t="n"/>
      <c r="B927" s="20" t="n"/>
      <c r="C927" s="21">
        <f>IF(B927="","",DATE(YEAR(B927),MONTH(B927),1))</f>
        <v/>
      </c>
      <c r="D927" s="19" t="n"/>
      <c r="E927" s="19" t="n"/>
      <c r="F927" s="19" t="n"/>
      <c r="G927" s="19" t="n"/>
      <c r="H927" s="19" t="n"/>
      <c r="I927" s="19" t="n"/>
      <c r="J927" s="19" t="n"/>
      <c r="K927" s="20" t="n"/>
      <c r="L927" s="22">
        <f>IF(OR(B927="",K927=""),"",K927-B927)</f>
        <v/>
      </c>
      <c r="M927" s="19" t="n"/>
      <c r="N927" s="19" t="n"/>
      <c r="O927" s="20" t="n"/>
      <c r="P927" s="19" t="n"/>
    </row>
    <row r="928">
      <c r="A928" s="19" t="n"/>
      <c r="B928" s="20" t="n"/>
      <c r="C928" s="21">
        <f>IF(B928="","",DATE(YEAR(B928),MONTH(B928),1))</f>
        <v/>
      </c>
      <c r="D928" s="19" t="n"/>
      <c r="E928" s="19" t="n"/>
      <c r="F928" s="19" t="n"/>
      <c r="G928" s="19" t="n"/>
      <c r="H928" s="19" t="n"/>
      <c r="I928" s="19" t="n"/>
      <c r="J928" s="19" t="n"/>
      <c r="K928" s="20" t="n"/>
      <c r="L928" s="22">
        <f>IF(OR(B928="",K928=""),"",K928-B928)</f>
        <v/>
      </c>
      <c r="M928" s="19" t="n"/>
      <c r="N928" s="19" t="n"/>
      <c r="O928" s="20" t="n"/>
      <c r="P928" s="19" t="n"/>
    </row>
    <row r="929">
      <c r="A929" s="19" t="n"/>
      <c r="B929" s="20" t="n"/>
      <c r="C929" s="21">
        <f>IF(B929="","",DATE(YEAR(B929),MONTH(B929),1))</f>
        <v/>
      </c>
      <c r="D929" s="19" t="n"/>
      <c r="E929" s="19" t="n"/>
      <c r="F929" s="19" t="n"/>
      <c r="G929" s="19" t="n"/>
      <c r="H929" s="19" t="n"/>
      <c r="I929" s="19" t="n"/>
      <c r="J929" s="19" t="n"/>
      <c r="K929" s="20" t="n"/>
      <c r="L929" s="22">
        <f>IF(OR(B929="",K929=""),"",K929-B929)</f>
        <v/>
      </c>
      <c r="M929" s="19" t="n"/>
      <c r="N929" s="19" t="n"/>
      <c r="O929" s="20" t="n"/>
      <c r="P929" s="19" t="n"/>
    </row>
    <row r="930">
      <c r="A930" s="19" t="n"/>
      <c r="B930" s="20" t="n"/>
      <c r="C930" s="21">
        <f>IF(B930="","",DATE(YEAR(B930),MONTH(B930),1))</f>
        <v/>
      </c>
      <c r="D930" s="19" t="n"/>
      <c r="E930" s="19" t="n"/>
      <c r="F930" s="19" t="n"/>
      <c r="G930" s="19" t="n"/>
      <c r="H930" s="19" t="n"/>
      <c r="I930" s="19" t="n"/>
      <c r="J930" s="19" t="n"/>
      <c r="K930" s="20" t="n"/>
      <c r="L930" s="22">
        <f>IF(OR(B930="",K930=""),"",K930-B930)</f>
        <v/>
      </c>
      <c r="M930" s="19" t="n"/>
      <c r="N930" s="19" t="n"/>
      <c r="O930" s="20" t="n"/>
      <c r="P930" s="19" t="n"/>
    </row>
    <row r="931">
      <c r="A931" s="19" t="n"/>
      <c r="B931" s="20" t="n"/>
      <c r="C931" s="21">
        <f>IF(B931="","",DATE(YEAR(B931),MONTH(B931),1))</f>
        <v/>
      </c>
      <c r="D931" s="19" t="n"/>
      <c r="E931" s="19" t="n"/>
      <c r="F931" s="19" t="n"/>
      <c r="G931" s="19" t="n"/>
      <c r="H931" s="19" t="n"/>
      <c r="I931" s="19" t="n"/>
      <c r="J931" s="19" t="n"/>
      <c r="K931" s="20" t="n"/>
      <c r="L931" s="22">
        <f>IF(OR(B931="",K931=""),"",K931-B931)</f>
        <v/>
      </c>
      <c r="M931" s="19" t="n"/>
      <c r="N931" s="19" t="n"/>
      <c r="O931" s="20" t="n"/>
      <c r="P931" s="19" t="n"/>
    </row>
    <row r="932">
      <c r="A932" s="19" t="n"/>
      <c r="B932" s="20" t="n"/>
      <c r="C932" s="21">
        <f>IF(B932="","",DATE(YEAR(B932),MONTH(B932),1))</f>
        <v/>
      </c>
      <c r="D932" s="19" t="n"/>
      <c r="E932" s="19" t="n"/>
      <c r="F932" s="19" t="n"/>
      <c r="G932" s="19" t="n"/>
      <c r="H932" s="19" t="n"/>
      <c r="I932" s="19" t="n"/>
      <c r="J932" s="19" t="n"/>
      <c r="K932" s="20" t="n"/>
      <c r="L932" s="22">
        <f>IF(OR(B932="",K932=""),"",K932-B932)</f>
        <v/>
      </c>
      <c r="M932" s="19" t="n"/>
      <c r="N932" s="19" t="n"/>
      <c r="O932" s="20" t="n"/>
      <c r="P932" s="19" t="n"/>
    </row>
    <row r="933">
      <c r="A933" s="19" t="n"/>
      <c r="B933" s="20" t="n"/>
      <c r="C933" s="21">
        <f>IF(B933="","",DATE(YEAR(B933),MONTH(B933),1))</f>
        <v/>
      </c>
      <c r="D933" s="19" t="n"/>
      <c r="E933" s="19" t="n"/>
      <c r="F933" s="19" t="n"/>
      <c r="G933" s="19" t="n"/>
      <c r="H933" s="19" t="n"/>
      <c r="I933" s="19" t="n"/>
      <c r="J933" s="19" t="n"/>
      <c r="K933" s="20" t="n"/>
      <c r="L933" s="22">
        <f>IF(OR(B933="",K933=""),"",K933-B933)</f>
        <v/>
      </c>
      <c r="M933" s="19" t="n"/>
      <c r="N933" s="19" t="n"/>
      <c r="O933" s="20" t="n"/>
      <c r="P933" s="19" t="n"/>
    </row>
    <row r="934">
      <c r="A934" s="19" t="n"/>
      <c r="B934" s="20" t="n"/>
      <c r="C934" s="21">
        <f>IF(B934="","",DATE(YEAR(B934),MONTH(B934),1))</f>
        <v/>
      </c>
      <c r="D934" s="19" t="n"/>
      <c r="E934" s="19" t="n"/>
      <c r="F934" s="19" t="n"/>
      <c r="G934" s="19" t="n"/>
      <c r="H934" s="19" t="n"/>
      <c r="I934" s="19" t="n"/>
      <c r="J934" s="19" t="n"/>
      <c r="K934" s="20" t="n"/>
      <c r="L934" s="22">
        <f>IF(OR(B934="",K934=""),"",K934-B934)</f>
        <v/>
      </c>
      <c r="M934" s="19" t="n"/>
      <c r="N934" s="19" t="n"/>
      <c r="O934" s="20" t="n"/>
      <c r="P934" s="19" t="n"/>
    </row>
    <row r="935">
      <c r="A935" s="19" t="n"/>
      <c r="B935" s="20" t="n"/>
      <c r="C935" s="21">
        <f>IF(B935="","",DATE(YEAR(B935),MONTH(B935),1))</f>
        <v/>
      </c>
      <c r="D935" s="19" t="n"/>
      <c r="E935" s="19" t="n"/>
      <c r="F935" s="19" t="n"/>
      <c r="G935" s="19" t="n"/>
      <c r="H935" s="19" t="n"/>
      <c r="I935" s="19" t="n"/>
      <c r="J935" s="19" t="n"/>
      <c r="K935" s="20" t="n"/>
      <c r="L935" s="22">
        <f>IF(OR(B935="",K935=""),"",K935-B935)</f>
        <v/>
      </c>
      <c r="M935" s="19" t="n"/>
      <c r="N935" s="19" t="n"/>
      <c r="O935" s="20" t="n"/>
      <c r="P935" s="19" t="n"/>
    </row>
    <row r="936">
      <c r="A936" s="19" t="n"/>
      <c r="B936" s="20" t="n"/>
      <c r="C936" s="21">
        <f>IF(B936="","",DATE(YEAR(B936),MONTH(B936),1))</f>
        <v/>
      </c>
      <c r="D936" s="19" t="n"/>
      <c r="E936" s="19" t="n"/>
      <c r="F936" s="19" t="n"/>
      <c r="G936" s="19" t="n"/>
      <c r="H936" s="19" t="n"/>
      <c r="I936" s="19" t="n"/>
      <c r="J936" s="19" t="n"/>
      <c r="K936" s="20" t="n"/>
      <c r="L936" s="22">
        <f>IF(OR(B936="",K936=""),"",K936-B936)</f>
        <v/>
      </c>
      <c r="M936" s="19" t="n"/>
      <c r="N936" s="19" t="n"/>
      <c r="O936" s="20" t="n"/>
      <c r="P936" s="19" t="n"/>
    </row>
    <row r="937">
      <c r="A937" s="19" t="n"/>
      <c r="B937" s="20" t="n"/>
      <c r="C937" s="21">
        <f>IF(B937="","",DATE(YEAR(B937),MONTH(B937),1))</f>
        <v/>
      </c>
      <c r="D937" s="19" t="n"/>
      <c r="E937" s="19" t="n"/>
      <c r="F937" s="19" t="n"/>
      <c r="G937" s="19" t="n"/>
      <c r="H937" s="19" t="n"/>
      <c r="I937" s="19" t="n"/>
      <c r="J937" s="19" t="n"/>
      <c r="K937" s="20" t="n"/>
      <c r="L937" s="22">
        <f>IF(OR(B937="",K937=""),"",K937-B937)</f>
        <v/>
      </c>
      <c r="M937" s="19" t="n"/>
      <c r="N937" s="19" t="n"/>
      <c r="O937" s="20" t="n"/>
      <c r="P937" s="19" t="n"/>
    </row>
    <row r="938">
      <c r="A938" s="19" t="n"/>
      <c r="B938" s="20" t="n"/>
      <c r="C938" s="21">
        <f>IF(B938="","",DATE(YEAR(B938),MONTH(B938),1))</f>
        <v/>
      </c>
      <c r="D938" s="19" t="n"/>
      <c r="E938" s="19" t="n"/>
      <c r="F938" s="19" t="n"/>
      <c r="G938" s="19" t="n"/>
      <c r="H938" s="19" t="n"/>
      <c r="I938" s="19" t="n"/>
      <c r="J938" s="19" t="n"/>
      <c r="K938" s="20" t="n"/>
      <c r="L938" s="22">
        <f>IF(OR(B938="",K938=""),"",K938-B938)</f>
        <v/>
      </c>
      <c r="M938" s="19" t="n"/>
      <c r="N938" s="19" t="n"/>
      <c r="O938" s="20" t="n"/>
      <c r="P938" s="19" t="n"/>
    </row>
    <row r="939">
      <c r="A939" s="19" t="n"/>
      <c r="B939" s="20" t="n"/>
      <c r="C939" s="21">
        <f>IF(B939="","",DATE(YEAR(B939),MONTH(B939),1))</f>
        <v/>
      </c>
      <c r="D939" s="19" t="n"/>
      <c r="E939" s="19" t="n"/>
      <c r="F939" s="19" t="n"/>
      <c r="G939" s="19" t="n"/>
      <c r="H939" s="19" t="n"/>
      <c r="I939" s="19" t="n"/>
      <c r="J939" s="19" t="n"/>
      <c r="K939" s="20" t="n"/>
      <c r="L939" s="22">
        <f>IF(OR(B939="",K939=""),"",K939-B939)</f>
        <v/>
      </c>
      <c r="M939" s="19" t="n"/>
      <c r="N939" s="19" t="n"/>
      <c r="O939" s="20" t="n"/>
      <c r="P939" s="19" t="n"/>
    </row>
    <row r="940">
      <c r="A940" s="19" t="n"/>
      <c r="B940" s="20" t="n"/>
      <c r="C940" s="21">
        <f>IF(B940="","",DATE(YEAR(B940),MONTH(B940),1))</f>
        <v/>
      </c>
      <c r="D940" s="19" t="n"/>
      <c r="E940" s="19" t="n"/>
      <c r="F940" s="19" t="n"/>
      <c r="G940" s="19" t="n"/>
      <c r="H940" s="19" t="n"/>
      <c r="I940" s="19" t="n"/>
      <c r="J940" s="19" t="n"/>
      <c r="K940" s="20" t="n"/>
      <c r="L940" s="22">
        <f>IF(OR(B940="",K940=""),"",K940-B940)</f>
        <v/>
      </c>
      <c r="M940" s="19" t="n"/>
      <c r="N940" s="19" t="n"/>
      <c r="O940" s="20" t="n"/>
      <c r="P940" s="19" t="n"/>
    </row>
    <row r="941">
      <c r="A941" s="19" t="n"/>
      <c r="B941" s="20" t="n"/>
      <c r="C941" s="21">
        <f>IF(B941="","",DATE(YEAR(B941),MONTH(B941),1))</f>
        <v/>
      </c>
      <c r="D941" s="19" t="n"/>
      <c r="E941" s="19" t="n"/>
      <c r="F941" s="19" t="n"/>
      <c r="G941" s="19" t="n"/>
      <c r="H941" s="19" t="n"/>
      <c r="I941" s="19" t="n"/>
      <c r="J941" s="19" t="n"/>
      <c r="K941" s="20" t="n"/>
      <c r="L941" s="22">
        <f>IF(OR(B941="",K941=""),"",K941-B941)</f>
        <v/>
      </c>
      <c r="M941" s="19" t="n"/>
      <c r="N941" s="19" t="n"/>
      <c r="O941" s="20" t="n"/>
      <c r="P941" s="19" t="n"/>
    </row>
    <row r="942">
      <c r="A942" s="19" t="n"/>
      <c r="B942" s="20" t="n"/>
      <c r="C942" s="21">
        <f>IF(B942="","",DATE(YEAR(B942),MONTH(B942),1))</f>
        <v/>
      </c>
      <c r="D942" s="19" t="n"/>
      <c r="E942" s="19" t="n"/>
      <c r="F942" s="19" t="n"/>
      <c r="G942" s="19" t="n"/>
      <c r="H942" s="19" t="n"/>
      <c r="I942" s="19" t="n"/>
      <c r="J942" s="19" t="n"/>
      <c r="K942" s="20" t="n"/>
      <c r="L942" s="22">
        <f>IF(OR(B942="",K942=""),"",K942-B942)</f>
        <v/>
      </c>
      <c r="M942" s="19" t="n"/>
      <c r="N942" s="19" t="n"/>
      <c r="O942" s="20" t="n"/>
      <c r="P942" s="19" t="n"/>
    </row>
    <row r="943">
      <c r="A943" s="19" t="n"/>
      <c r="B943" s="20" t="n"/>
      <c r="C943" s="21">
        <f>IF(B943="","",DATE(YEAR(B943),MONTH(B943),1))</f>
        <v/>
      </c>
      <c r="D943" s="19" t="n"/>
      <c r="E943" s="19" t="n"/>
      <c r="F943" s="19" t="n"/>
      <c r="G943" s="19" t="n"/>
      <c r="H943" s="19" t="n"/>
      <c r="I943" s="19" t="n"/>
      <c r="J943" s="19" t="n"/>
      <c r="K943" s="20" t="n"/>
      <c r="L943" s="22">
        <f>IF(OR(B943="",K943=""),"",K943-B943)</f>
        <v/>
      </c>
      <c r="M943" s="19" t="n"/>
      <c r="N943" s="19" t="n"/>
      <c r="O943" s="20" t="n"/>
      <c r="P943" s="19" t="n"/>
    </row>
    <row r="944">
      <c r="A944" s="19" t="n"/>
      <c r="B944" s="20" t="n"/>
      <c r="C944" s="21">
        <f>IF(B944="","",DATE(YEAR(B944),MONTH(B944),1))</f>
        <v/>
      </c>
      <c r="D944" s="19" t="n"/>
      <c r="E944" s="19" t="n"/>
      <c r="F944" s="19" t="n"/>
      <c r="G944" s="19" t="n"/>
      <c r="H944" s="19" t="n"/>
      <c r="I944" s="19" t="n"/>
      <c r="J944" s="19" t="n"/>
      <c r="K944" s="20" t="n"/>
      <c r="L944" s="22">
        <f>IF(OR(B944="",K944=""),"",K944-B944)</f>
        <v/>
      </c>
      <c r="M944" s="19" t="n"/>
      <c r="N944" s="19" t="n"/>
      <c r="O944" s="20" t="n"/>
      <c r="P944" s="19" t="n"/>
    </row>
    <row r="945">
      <c r="A945" s="19" t="n"/>
      <c r="B945" s="20" t="n"/>
      <c r="C945" s="21">
        <f>IF(B945="","",DATE(YEAR(B945),MONTH(B945),1))</f>
        <v/>
      </c>
      <c r="D945" s="19" t="n"/>
      <c r="E945" s="19" t="n"/>
      <c r="F945" s="19" t="n"/>
      <c r="G945" s="19" t="n"/>
      <c r="H945" s="19" t="n"/>
      <c r="I945" s="19" t="n"/>
      <c r="J945" s="19" t="n"/>
      <c r="K945" s="20" t="n"/>
      <c r="L945" s="22">
        <f>IF(OR(B945="",K945=""),"",K945-B945)</f>
        <v/>
      </c>
      <c r="M945" s="19" t="n"/>
      <c r="N945" s="19" t="n"/>
      <c r="O945" s="20" t="n"/>
      <c r="P945" s="19" t="n"/>
    </row>
    <row r="946">
      <c r="A946" s="19" t="n"/>
      <c r="B946" s="20" t="n"/>
      <c r="C946" s="21">
        <f>IF(B946="","",DATE(YEAR(B946),MONTH(B946),1))</f>
        <v/>
      </c>
      <c r="D946" s="19" t="n"/>
      <c r="E946" s="19" t="n"/>
      <c r="F946" s="19" t="n"/>
      <c r="G946" s="19" t="n"/>
      <c r="H946" s="19" t="n"/>
      <c r="I946" s="19" t="n"/>
      <c r="J946" s="19" t="n"/>
      <c r="K946" s="20" t="n"/>
      <c r="L946" s="22">
        <f>IF(OR(B946="",K946=""),"",K946-B946)</f>
        <v/>
      </c>
      <c r="M946" s="19" t="n"/>
      <c r="N946" s="19" t="n"/>
      <c r="O946" s="20" t="n"/>
      <c r="P946" s="19" t="n"/>
    </row>
    <row r="947">
      <c r="A947" s="19" t="n"/>
      <c r="B947" s="20" t="n"/>
      <c r="C947" s="21">
        <f>IF(B947="","",DATE(YEAR(B947),MONTH(B947),1))</f>
        <v/>
      </c>
      <c r="D947" s="19" t="n"/>
      <c r="E947" s="19" t="n"/>
      <c r="F947" s="19" t="n"/>
      <c r="G947" s="19" t="n"/>
      <c r="H947" s="19" t="n"/>
      <c r="I947" s="19" t="n"/>
      <c r="J947" s="19" t="n"/>
      <c r="K947" s="20" t="n"/>
      <c r="L947" s="22">
        <f>IF(OR(B947="",K947=""),"",K947-B947)</f>
        <v/>
      </c>
      <c r="M947" s="19" t="n"/>
      <c r="N947" s="19" t="n"/>
      <c r="O947" s="20" t="n"/>
      <c r="P947" s="19" t="n"/>
    </row>
    <row r="948">
      <c r="A948" s="19" t="n"/>
      <c r="B948" s="20" t="n"/>
      <c r="C948" s="21">
        <f>IF(B948="","",DATE(YEAR(B948),MONTH(B948),1))</f>
        <v/>
      </c>
      <c r="D948" s="19" t="n"/>
      <c r="E948" s="19" t="n"/>
      <c r="F948" s="19" t="n"/>
      <c r="G948" s="19" t="n"/>
      <c r="H948" s="19" t="n"/>
      <c r="I948" s="19" t="n"/>
      <c r="J948" s="19" t="n"/>
      <c r="K948" s="20" t="n"/>
      <c r="L948" s="22">
        <f>IF(OR(B948="",K948=""),"",K948-B948)</f>
        <v/>
      </c>
      <c r="M948" s="19" t="n"/>
      <c r="N948" s="19" t="n"/>
      <c r="O948" s="20" t="n"/>
      <c r="P948" s="19" t="n"/>
    </row>
    <row r="949">
      <c r="A949" s="19" t="n"/>
      <c r="B949" s="20" t="n"/>
      <c r="C949" s="21">
        <f>IF(B949="","",DATE(YEAR(B949),MONTH(B949),1))</f>
        <v/>
      </c>
      <c r="D949" s="19" t="n"/>
      <c r="E949" s="19" t="n"/>
      <c r="F949" s="19" t="n"/>
      <c r="G949" s="19" t="n"/>
      <c r="H949" s="19" t="n"/>
      <c r="I949" s="19" t="n"/>
      <c r="J949" s="19" t="n"/>
      <c r="K949" s="20" t="n"/>
      <c r="L949" s="22">
        <f>IF(OR(B949="",K949=""),"",K949-B949)</f>
        <v/>
      </c>
      <c r="M949" s="19" t="n"/>
      <c r="N949" s="19" t="n"/>
      <c r="O949" s="20" t="n"/>
      <c r="P949" s="19" t="n"/>
    </row>
    <row r="950">
      <c r="A950" s="19" t="n"/>
      <c r="B950" s="20" t="n"/>
      <c r="C950" s="21">
        <f>IF(B950="","",DATE(YEAR(B950),MONTH(B950),1))</f>
        <v/>
      </c>
      <c r="D950" s="19" t="n"/>
      <c r="E950" s="19" t="n"/>
      <c r="F950" s="19" t="n"/>
      <c r="G950" s="19" t="n"/>
      <c r="H950" s="19" t="n"/>
      <c r="I950" s="19" t="n"/>
      <c r="J950" s="19" t="n"/>
      <c r="K950" s="20" t="n"/>
      <c r="L950" s="22">
        <f>IF(OR(B950="",K950=""),"",K950-B950)</f>
        <v/>
      </c>
      <c r="M950" s="19" t="n"/>
      <c r="N950" s="19" t="n"/>
      <c r="O950" s="20" t="n"/>
      <c r="P950" s="19" t="n"/>
    </row>
    <row r="951">
      <c r="A951" s="19" t="n"/>
      <c r="B951" s="20" t="n"/>
      <c r="C951" s="21">
        <f>IF(B951="","",DATE(YEAR(B951),MONTH(B951),1))</f>
        <v/>
      </c>
      <c r="D951" s="19" t="n"/>
      <c r="E951" s="19" t="n"/>
      <c r="F951" s="19" t="n"/>
      <c r="G951" s="19" t="n"/>
      <c r="H951" s="19" t="n"/>
      <c r="I951" s="19" t="n"/>
      <c r="J951" s="19" t="n"/>
      <c r="K951" s="20" t="n"/>
      <c r="L951" s="22">
        <f>IF(OR(B951="",K951=""),"",K951-B951)</f>
        <v/>
      </c>
      <c r="M951" s="19" t="n"/>
      <c r="N951" s="19" t="n"/>
      <c r="O951" s="20" t="n"/>
      <c r="P951" s="19" t="n"/>
    </row>
    <row r="952">
      <c r="A952" s="19" t="n"/>
      <c r="B952" s="20" t="n"/>
      <c r="C952" s="21">
        <f>IF(B952="","",DATE(YEAR(B952),MONTH(B952),1))</f>
        <v/>
      </c>
      <c r="D952" s="19" t="n"/>
      <c r="E952" s="19" t="n"/>
      <c r="F952" s="19" t="n"/>
      <c r="G952" s="19" t="n"/>
      <c r="H952" s="19" t="n"/>
      <c r="I952" s="19" t="n"/>
      <c r="J952" s="19" t="n"/>
      <c r="K952" s="20" t="n"/>
      <c r="L952" s="22">
        <f>IF(OR(B952="",K952=""),"",K952-B952)</f>
        <v/>
      </c>
      <c r="M952" s="19" t="n"/>
      <c r="N952" s="19" t="n"/>
      <c r="O952" s="20" t="n"/>
      <c r="P952" s="19" t="n"/>
    </row>
    <row r="953">
      <c r="A953" s="19" t="n"/>
      <c r="B953" s="20" t="n"/>
      <c r="C953" s="21">
        <f>IF(B953="","",DATE(YEAR(B953),MONTH(B953),1))</f>
        <v/>
      </c>
      <c r="D953" s="19" t="n"/>
      <c r="E953" s="19" t="n"/>
      <c r="F953" s="19" t="n"/>
      <c r="G953" s="19" t="n"/>
      <c r="H953" s="19" t="n"/>
      <c r="I953" s="19" t="n"/>
      <c r="J953" s="19" t="n"/>
      <c r="K953" s="20" t="n"/>
      <c r="L953" s="22">
        <f>IF(OR(B953="",K953=""),"",K953-B953)</f>
        <v/>
      </c>
      <c r="M953" s="19" t="n"/>
      <c r="N953" s="19" t="n"/>
      <c r="O953" s="20" t="n"/>
      <c r="P953" s="19" t="n"/>
    </row>
    <row r="954">
      <c r="A954" s="19" t="n"/>
      <c r="B954" s="20" t="n"/>
      <c r="C954" s="21">
        <f>IF(B954="","",DATE(YEAR(B954),MONTH(B954),1))</f>
        <v/>
      </c>
      <c r="D954" s="19" t="n"/>
      <c r="E954" s="19" t="n"/>
      <c r="F954" s="19" t="n"/>
      <c r="G954" s="19" t="n"/>
      <c r="H954" s="19" t="n"/>
      <c r="I954" s="19" t="n"/>
      <c r="J954" s="19" t="n"/>
      <c r="K954" s="20" t="n"/>
      <c r="L954" s="22">
        <f>IF(OR(B954="",K954=""),"",K954-B954)</f>
        <v/>
      </c>
      <c r="M954" s="19" t="n"/>
      <c r="N954" s="19" t="n"/>
      <c r="O954" s="20" t="n"/>
      <c r="P954" s="19" t="n"/>
    </row>
    <row r="955">
      <c r="A955" s="19" t="n"/>
      <c r="B955" s="20" t="n"/>
      <c r="C955" s="21">
        <f>IF(B955="","",DATE(YEAR(B955),MONTH(B955),1))</f>
        <v/>
      </c>
      <c r="D955" s="19" t="n"/>
      <c r="E955" s="19" t="n"/>
      <c r="F955" s="19" t="n"/>
      <c r="G955" s="19" t="n"/>
      <c r="H955" s="19" t="n"/>
      <c r="I955" s="19" t="n"/>
      <c r="J955" s="19" t="n"/>
      <c r="K955" s="20" t="n"/>
      <c r="L955" s="22">
        <f>IF(OR(B955="",K955=""),"",K955-B955)</f>
        <v/>
      </c>
      <c r="M955" s="19" t="n"/>
      <c r="N955" s="19" t="n"/>
      <c r="O955" s="20" t="n"/>
      <c r="P955" s="19" t="n"/>
    </row>
    <row r="956">
      <c r="A956" s="19" t="n"/>
      <c r="B956" s="20" t="n"/>
      <c r="C956" s="21">
        <f>IF(B956="","",DATE(YEAR(B956),MONTH(B956),1))</f>
        <v/>
      </c>
      <c r="D956" s="19" t="n"/>
      <c r="E956" s="19" t="n"/>
      <c r="F956" s="19" t="n"/>
      <c r="G956" s="19" t="n"/>
      <c r="H956" s="19" t="n"/>
      <c r="I956" s="19" t="n"/>
      <c r="J956" s="19" t="n"/>
      <c r="K956" s="20" t="n"/>
      <c r="L956" s="22">
        <f>IF(OR(B956="",K956=""),"",K956-B956)</f>
        <v/>
      </c>
      <c r="M956" s="19" t="n"/>
      <c r="N956" s="19" t="n"/>
      <c r="O956" s="20" t="n"/>
      <c r="P956" s="19" t="n"/>
    </row>
    <row r="957">
      <c r="A957" s="19" t="n"/>
      <c r="B957" s="20" t="n"/>
      <c r="C957" s="21">
        <f>IF(B957="","",DATE(YEAR(B957),MONTH(B957),1))</f>
        <v/>
      </c>
      <c r="D957" s="19" t="n"/>
      <c r="E957" s="19" t="n"/>
      <c r="F957" s="19" t="n"/>
      <c r="G957" s="19" t="n"/>
      <c r="H957" s="19" t="n"/>
      <c r="I957" s="19" t="n"/>
      <c r="J957" s="19" t="n"/>
      <c r="K957" s="20" t="n"/>
      <c r="L957" s="22">
        <f>IF(OR(B957="",K957=""),"",K957-B957)</f>
        <v/>
      </c>
      <c r="M957" s="19" t="n"/>
      <c r="N957" s="19" t="n"/>
      <c r="O957" s="20" t="n"/>
      <c r="P957" s="19" t="n"/>
    </row>
    <row r="958">
      <c r="A958" s="19" t="n"/>
      <c r="B958" s="20" t="n"/>
      <c r="C958" s="21">
        <f>IF(B958="","",DATE(YEAR(B958),MONTH(B958),1))</f>
        <v/>
      </c>
      <c r="D958" s="19" t="n"/>
      <c r="E958" s="19" t="n"/>
      <c r="F958" s="19" t="n"/>
      <c r="G958" s="19" t="n"/>
      <c r="H958" s="19" t="n"/>
      <c r="I958" s="19" t="n"/>
      <c r="J958" s="19" t="n"/>
      <c r="K958" s="20" t="n"/>
      <c r="L958" s="22">
        <f>IF(OR(B958="",K958=""),"",K958-B958)</f>
        <v/>
      </c>
      <c r="M958" s="19" t="n"/>
      <c r="N958" s="19" t="n"/>
      <c r="O958" s="20" t="n"/>
      <c r="P958" s="19" t="n"/>
    </row>
    <row r="959">
      <c r="A959" s="19" t="n"/>
      <c r="B959" s="20" t="n"/>
      <c r="C959" s="21">
        <f>IF(B959="","",DATE(YEAR(B959),MONTH(B959),1))</f>
        <v/>
      </c>
      <c r="D959" s="19" t="n"/>
      <c r="E959" s="19" t="n"/>
      <c r="F959" s="19" t="n"/>
      <c r="G959" s="19" t="n"/>
      <c r="H959" s="19" t="n"/>
      <c r="I959" s="19" t="n"/>
      <c r="J959" s="19" t="n"/>
      <c r="K959" s="20" t="n"/>
      <c r="L959" s="22">
        <f>IF(OR(B959="",K959=""),"",K959-B959)</f>
        <v/>
      </c>
      <c r="M959" s="19" t="n"/>
      <c r="N959" s="19" t="n"/>
      <c r="O959" s="20" t="n"/>
      <c r="P959" s="19" t="n"/>
    </row>
    <row r="960">
      <c r="A960" s="19" t="n"/>
      <c r="B960" s="20" t="n"/>
      <c r="C960" s="21">
        <f>IF(B960="","",DATE(YEAR(B960),MONTH(B960),1))</f>
        <v/>
      </c>
      <c r="D960" s="19" t="n"/>
      <c r="E960" s="19" t="n"/>
      <c r="F960" s="19" t="n"/>
      <c r="G960" s="19" t="n"/>
      <c r="H960" s="19" t="n"/>
      <c r="I960" s="19" t="n"/>
      <c r="J960" s="19" t="n"/>
      <c r="K960" s="20" t="n"/>
      <c r="L960" s="22">
        <f>IF(OR(B960="",K960=""),"",K960-B960)</f>
        <v/>
      </c>
      <c r="M960" s="19" t="n"/>
      <c r="N960" s="19" t="n"/>
      <c r="O960" s="20" t="n"/>
      <c r="P960" s="19" t="n"/>
    </row>
    <row r="961">
      <c r="A961" s="19" t="n"/>
      <c r="B961" s="20" t="n"/>
      <c r="C961" s="21">
        <f>IF(B961="","",DATE(YEAR(B961),MONTH(B961),1))</f>
        <v/>
      </c>
      <c r="D961" s="19" t="n"/>
      <c r="E961" s="19" t="n"/>
      <c r="F961" s="19" t="n"/>
      <c r="G961" s="19" t="n"/>
      <c r="H961" s="19" t="n"/>
      <c r="I961" s="19" t="n"/>
      <c r="J961" s="19" t="n"/>
      <c r="K961" s="20" t="n"/>
      <c r="L961" s="22">
        <f>IF(OR(B961="",K961=""),"",K961-B961)</f>
        <v/>
      </c>
      <c r="M961" s="19" t="n"/>
      <c r="N961" s="19" t="n"/>
      <c r="O961" s="20" t="n"/>
      <c r="P961" s="19" t="n"/>
    </row>
    <row r="962">
      <c r="A962" s="19" t="n"/>
      <c r="B962" s="20" t="n"/>
      <c r="C962" s="21">
        <f>IF(B962="","",DATE(YEAR(B962),MONTH(B962),1))</f>
        <v/>
      </c>
      <c r="D962" s="19" t="n"/>
      <c r="E962" s="19" t="n"/>
      <c r="F962" s="19" t="n"/>
      <c r="G962" s="19" t="n"/>
      <c r="H962" s="19" t="n"/>
      <c r="I962" s="19" t="n"/>
      <c r="J962" s="19" t="n"/>
      <c r="K962" s="20" t="n"/>
      <c r="L962" s="22">
        <f>IF(OR(B962="",K962=""),"",K962-B962)</f>
        <v/>
      </c>
      <c r="M962" s="19" t="n"/>
      <c r="N962" s="19" t="n"/>
      <c r="O962" s="20" t="n"/>
      <c r="P962" s="19" t="n"/>
    </row>
    <row r="963">
      <c r="A963" s="19" t="n"/>
      <c r="B963" s="20" t="n"/>
      <c r="C963" s="21">
        <f>IF(B963="","",DATE(YEAR(B963),MONTH(B963),1))</f>
        <v/>
      </c>
      <c r="D963" s="19" t="n"/>
      <c r="E963" s="19" t="n"/>
      <c r="F963" s="19" t="n"/>
      <c r="G963" s="19" t="n"/>
      <c r="H963" s="19" t="n"/>
      <c r="I963" s="19" t="n"/>
      <c r="J963" s="19" t="n"/>
      <c r="K963" s="20" t="n"/>
      <c r="L963" s="22">
        <f>IF(OR(B963="",K963=""),"",K963-B963)</f>
        <v/>
      </c>
      <c r="M963" s="19" t="n"/>
      <c r="N963" s="19" t="n"/>
      <c r="O963" s="20" t="n"/>
      <c r="P963" s="19" t="n"/>
    </row>
    <row r="964">
      <c r="A964" s="19" t="n"/>
      <c r="B964" s="20" t="n"/>
      <c r="C964" s="21">
        <f>IF(B964="","",DATE(YEAR(B964),MONTH(B964),1))</f>
        <v/>
      </c>
      <c r="D964" s="19" t="n"/>
      <c r="E964" s="19" t="n"/>
      <c r="F964" s="19" t="n"/>
      <c r="G964" s="19" t="n"/>
      <c r="H964" s="19" t="n"/>
      <c r="I964" s="19" t="n"/>
      <c r="J964" s="19" t="n"/>
      <c r="K964" s="20" t="n"/>
      <c r="L964" s="22">
        <f>IF(OR(B964="",K964=""),"",K964-B964)</f>
        <v/>
      </c>
      <c r="M964" s="19" t="n"/>
      <c r="N964" s="19" t="n"/>
      <c r="O964" s="20" t="n"/>
      <c r="P964" s="19" t="n"/>
    </row>
    <row r="965">
      <c r="A965" s="19" t="n"/>
      <c r="B965" s="20" t="n"/>
      <c r="C965" s="21">
        <f>IF(B965="","",DATE(YEAR(B965),MONTH(B965),1))</f>
        <v/>
      </c>
      <c r="D965" s="19" t="n"/>
      <c r="E965" s="19" t="n"/>
      <c r="F965" s="19" t="n"/>
      <c r="G965" s="19" t="n"/>
      <c r="H965" s="19" t="n"/>
      <c r="I965" s="19" t="n"/>
      <c r="J965" s="19" t="n"/>
      <c r="K965" s="20" t="n"/>
      <c r="L965" s="22">
        <f>IF(OR(B965="",K965=""),"",K965-B965)</f>
        <v/>
      </c>
      <c r="M965" s="19" t="n"/>
      <c r="N965" s="19" t="n"/>
      <c r="O965" s="20" t="n"/>
      <c r="P965" s="19" t="n"/>
    </row>
    <row r="966">
      <c r="A966" s="19" t="n"/>
      <c r="B966" s="20" t="n"/>
      <c r="C966" s="21">
        <f>IF(B966="","",DATE(YEAR(B966),MONTH(B966),1))</f>
        <v/>
      </c>
      <c r="D966" s="19" t="n"/>
      <c r="E966" s="19" t="n"/>
      <c r="F966" s="19" t="n"/>
      <c r="G966" s="19" t="n"/>
      <c r="H966" s="19" t="n"/>
      <c r="I966" s="19" t="n"/>
      <c r="J966" s="19" t="n"/>
      <c r="K966" s="20" t="n"/>
      <c r="L966" s="22">
        <f>IF(OR(B966="",K966=""),"",K966-B966)</f>
        <v/>
      </c>
      <c r="M966" s="19" t="n"/>
      <c r="N966" s="19" t="n"/>
      <c r="O966" s="20" t="n"/>
      <c r="P966" s="19" t="n"/>
    </row>
    <row r="967">
      <c r="A967" s="19" t="n"/>
      <c r="B967" s="20" t="n"/>
      <c r="C967" s="21">
        <f>IF(B967="","",DATE(YEAR(B967),MONTH(B967),1))</f>
        <v/>
      </c>
      <c r="D967" s="19" t="n"/>
      <c r="E967" s="19" t="n"/>
      <c r="F967" s="19" t="n"/>
      <c r="G967" s="19" t="n"/>
      <c r="H967" s="19" t="n"/>
      <c r="I967" s="19" t="n"/>
      <c r="J967" s="19" t="n"/>
      <c r="K967" s="20" t="n"/>
      <c r="L967" s="22">
        <f>IF(OR(B967="",K967=""),"",K967-B967)</f>
        <v/>
      </c>
      <c r="M967" s="19" t="n"/>
      <c r="N967" s="19" t="n"/>
      <c r="O967" s="20" t="n"/>
      <c r="P967" s="19" t="n"/>
    </row>
    <row r="968">
      <c r="A968" s="19" t="n"/>
      <c r="B968" s="20" t="n"/>
      <c r="C968" s="21">
        <f>IF(B968="","",DATE(YEAR(B968),MONTH(B968),1))</f>
        <v/>
      </c>
      <c r="D968" s="19" t="n"/>
      <c r="E968" s="19" t="n"/>
      <c r="F968" s="19" t="n"/>
      <c r="G968" s="19" t="n"/>
      <c r="H968" s="19" t="n"/>
      <c r="I968" s="19" t="n"/>
      <c r="J968" s="19" t="n"/>
      <c r="K968" s="20" t="n"/>
      <c r="L968" s="22">
        <f>IF(OR(B968="",K968=""),"",K968-B968)</f>
        <v/>
      </c>
      <c r="M968" s="19" t="n"/>
      <c r="N968" s="19" t="n"/>
      <c r="O968" s="20" t="n"/>
      <c r="P968" s="19" t="n"/>
    </row>
    <row r="969">
      <c r="A969" s="19" t="n"/>
      <c r="B969" s="20" t="n"/>
      <c r="C969" s="21">
        <f>IF(B969="","",DATE(YEAR(B969),MONTH(B969),1))</f>
        <v/>
      </c>
      <c r="D969" s="19" t="n"/>
      <c r="E969" s="19" t="n"/>
      <c r="F969" s="19" t="n"/>
      <c r="G969" s="19" t="n"/>
      <c r="H969" s="19" t="n"/>
      <c r="I969" s="19" t="n"/>
      <c r="J969" s="19" t="n"/>
      <c r="K969" s="20" t="n"/>
      <c r="L969" s="22">
        <f>IF(OR(B969="",K969=""),"",K969-B969)</f>
        <v/>
      </c>
      <c r="M969" s="19" t="n"/>
      <c r="N969" s="19" t="n"/>
      <c r="O969" s="20" t="n"/>
      <c r="P969" s="19" t="n"/>
    </row>
    <row r="970">
      <c r="A970" s="19" t="n"/>
      <c r="B970" s="20" t="n"/>
      <c r="C970" s="21">
        <f>IF(B970="","",DATE(YEAR(B970),MONTH(B970),1))</f>
        <v/>
      </c>
      <c r="D970" s="19" t="n"/>
      <c r="E970" s="19" t="n"/>
      <c r="F970" s="19" t="n"/>
      <c r="G970" s="19" t="n"/>
      <c r="H970" s="19" t="n"/>
      <c r="I970" s="19" t="n"/>
      <c r="J970" s="19" t="n"/>
      <c r="K970" s="20" t="n"/>
      <c r="L970" s="22">
        <f>IF(OR(B970="",K970=""),"",K970-B970)</f>
        <v/>
      </c>
      <c r="M970" s="19" t="n"/>
      <c r="N970" s="19" t="n"/>
      <c r="O970" s="20" t="n"/>
      <c r="P970" s="19" t="n"/>
    </row>
    <row r="971">
      <c r="A971" s="19" t="n"/>
      <c r="B971" s="20" t="n"/>
      <c r="C971" s="21">
        <f>IF(B971="","",DATE(YEAR(B971),MONTH(B971),1))</f>
        <v/>
      </c>
      <c r="D971" s="19" t="n"/>
      <c r="E971" s="19" t="n"/>
      <c r="F971" s="19" t="n"/>
      <c r="G971" s="19" t="n"/>
      <c r="H971" s="19" t="n"/>
      <c r="I971" s="19" t="n"/>
      <c r="J971" s="19" t="n"/>
      <c r="K971" s="20" t="n"/>
      <c r="L971" s="22">
        <f>IF(OR(B971="",K971=""),"",K971-B971)</f>
        <v/>
      </c>
      <c r="M971" s="19" t="n"/>
      <c r="N971" s="19" t="n"/>
      <c r="O971" s="20" t="n"/>
      <c r="P971" s="19" t="n"/>
    </row>
    <row r="972">
      <c r="A972" s="19" t="n"/>
      <c r="B972" s="20" t="n"/>
      <c r="C972" s="21">
        <f>IF(B972="","",DATE(YEAR(B972),MONTH(B972),1))</f>
        <v/>
      </c>
      <c r="D972" s="19" t="n"/>
      <c r="E972" s="19" t="n"/>
      <c r="F972" s="19" t="n"/>
      <c r="G972" s="19" t="n"/>
      <c r="H972" s="19" t="n"/>
      <c r="I972" s="19" t="n"/>
      <c r="J972" s="19" t="n"/>
      <c r="K972" s="20" t="n"/>
      <c r="L972" s="22">
        <f>IF(OR(B972="",K972=""),"",K972-B972)</f>
        <v/>
      </c>
      <c r="M972" s="19" t="n"/>
      <c r="N972" s="19" t="n"/>
      <c r="O972" s="20" t="n"/>
      <c r="P972" s="19" t="n"/>
    </row>
    <row r="973">
      <c r="A973" s="19" t="n"/>
      <c r="B973" s="20" t="n"/>
      <c r="C973" s="21">
        <f>IF(B973="","",DATE(YEAR(B973),MONTH(B973),1))</f>
        <v/>
      </c>
      <c r="D973" s="19" t="n"/>
      <c r="E973" s="19" t="n"/>
      <c r="F973" s="19" t="n"/>
      <c r="G973" s="19" t="n"/>
      <c r="H973" s="19" t="n"/>
      <c r="I973" s="19" t="n"/>
      <c r="J973" s="19" t="n"/>
      <c r="K973" s="20" t="n"/>
      <c r="L973" s="22">
        <f>IF(OR(B973="",K973=""),"",K973-B973)</f>
        <v/>
      </c>
      <c r="M973" s="19" t="n"/>
      <c r="N973" s="19" t="n"/>
      <c r="O973" s="20" t="n"/>
      <c r="P973" s="19" t="n"/>
    </row>
    <row r="974">
      <c r="A974" s="19" t="n"/>
      <c r="B974" s="20" t="n"/>
      <c r="C974" s="21">
        <f>IF(B974="","",DATE(YEAR(B974),MONTH(B974),1))</f>
        <v/>
      </c>
      <c r="D974" s="19" t="n"/>
      <c r="E974" s="19" t="n"/>
      <c r="F974" s="19" t="n"/>
      <c r="G974" s="19" t="n"/>
      <c r="H974" s="19" t="n"/>
      <c r="I974" s="19" t="n"/>
      <c r="J974" s="19" t="n"/>
      <c r="K974" s="20" t="n"/>
      <c r="L974" s="22">
        <f>IF(OR(B974="",K974=""),"",K974-B974)</f>
        <v/>
      </c>
      <c r="M974" s="19" t="n"/>
      <c r="N974" s="19" t="n"/>
      <c r="O974" s="20" t="n"/>
      <c r="P974" s="19" t="n"/>
    </row>
    <row r="975">
      <c r="A975" s="19" t="n"/>
      <c r="B975" s="20" t="n"/>
      <c r="C975" s="21">
        <f>IF(B975="","",DATE(YEAR(B975),MONTH(B975),1))</f>
        <v/>
      </c>
      <c r="D975" s="19" t="n"/>
      <c r="E975" s="19" t="n"/>
      <c r="F975" s="19" t="n"/>
      <c r="G975" s="19" t="n"/>
      <c r="H975" s="19" t="n"/>
      <c r="I975" s="19" t="n"/>
      <c r="J975" s="19" t="n"/>
      <c r="K975" s="20" t="n"/>
      <c r="L975" s="22">
        <f>IF(OR(B975="",K975=""),"",K975-B975)</f>
        <v/>
      </c>
      <c r="M975" s="19" t="n"/>
      <c r="N975" s="19" t="n"/>
      <c r="O975" s="20" t="n"/>
      <c r="P975" s="19" t="n"/>
    </row>
    <row r="976">
      <c r="A976" s="19" t="n"/>
      <c r="B976" s="20" t="n"/>
      <c r="C976" s="21">
        <f>IF(B976="","",DATE(YEAR(B976),MONTH(B976),1))</f>
        <v/>
      </c>
      <c r="D976" s="19" t="n"/>
      <c r="E976" s="19" t="n"/>
      <c r="F976" s="19" t="n"/>
      <c r="G976" s="19" t="n"/>
      <c r="H976" s="19" t="n"/>
      <c r="I976" s="19" t="n"/>
      <c r="J976" s="19" t="n"/>
      <c r="K976" s="20" t="n"/>
      <c r="L976" s="22">
        <f>IF(OR(B976="",K976=""),"",K976-B976)</f>
        <v/>
      </c>
      <c r="M976" s="19" t="n"/>
      <c r="N976" s="19" t="n"/>
      <c r="O976" s="20" t="n"/>
      <c r="P976" s="19" t="n"/>
    </row>
    <row r="977">
      <c r="A977" s="19" t="n"/>
      <c r="B977" s="20" t="n"/>
      <c r="C977" s="21">
        <f>IF(B977="","",DATE(YEAR(B977),MONTH(B977),1))</f>
        <v/>
      </c>
      <c r="D977" s="19" t="n"/>
      <c r="E977" s="19" t="n"/>
      <c r="F977" s="19" t="n"/>
      <c r="G977" s="19" t="n"/>
      <c r="H977" s="19" t="n"/>
      <c r="I977" s="19" t="n"/>
      <c r="J977" s="19" t="n"/>
      <c r="K977" s="20" t="n"/>
      <c r="L977" s="22">
        <f>IF(OR(B977="",K977=""),"",K977-B977)</f>
        <v/>
      </c>
      <c r="M977" s="19" t="n"/>
      <c r="N977" s="19" t="n"/>
      <c r="O977" s="20" t="n"/>
      <c r="P977" s="19" t="n"/>
    </row>
    <row r="978">
      <c r="A978" s="19" t="n"/>
      <c r="B978" s="20" t="n"/>
      <c r="C978" s="21">
        <f>IF(B978="","",DATE(YEAR(B978),MONTH(B978),1))</f>
        <v/>
      </c>
      <c r="D978" s="19" t="n"/>
      <c r="E978" s="19" t="n"/>
      <c r="F978" s="19" t="n"/>
      <c r="G978" s="19" t="n"/>
      <c r="H978" s="19" t="n"/>
      <c r="I978" s="19" t="n"/>
      <c r="J978" s="19" t="n"/>
      <c r="K978" s="20" t="n"/>
      <c r="L978" s="22">
        <f>IF(OR(B978="",K978=""),"",K978-B978)</f>
        <v/>
      </c>
      <c r="M978" s="19" t="n"/>
      <c r="N978" s="19" t="n"/>
      <c r="O978" s="20" t="n"/>
      <c r="P978" s="19" t="n"/>
    </row>
    <row r="979">
      <c r="A979" s="19" t="n"/>
      <c r="B979" s="20" t="n"/>
      <c r="C979" s="21">
        <f>IF(B979="","",DATE(YEAR(B979),MONTH(B979),1))</f>
        <v/>
      </c>
      <c r="D979" s="19" t="n"/>
      <c r="E979" s="19" t="n"/>
      <c r="F979" s="19" t="n"/>
      <c r="G979" s="19" t="n"/>
      <c r="H979" s="19" t="n"/>
      <c r="I979" s="19" t="n"/>
      <c r="J979" s="19" t="n"/>
      <c r="K979" s="20" t="n"/>
      <c r="L979" s="22">
        <f>IF(OR(B979="",K979=""),"",K979-B979)</f>
        <v/>
      </c>
      <c r="M979" s="19" t="n"/>
      <c r="N979" s="19" t="n"/>
      <c r="O979" s="20" t="n"/>
      <c r="P979" s="19" t="n"/>
    </row>
    <row r="980">
      <c r="A980" s="19" t="n"/>
      <c r="B980" s="20" t="n"/>
      <c r="C980" s="21">
        <f>IF(B980="","",DATE(YEAR(B980),MONTH(B980),1))</f>
        <v/>
      </c>
      <c r="D980" s="19" t="n"/>
      <c r="E980" s="19" t="n"/>
      <c r="F980" s="19" t="n"/>
      <c r="G980" s="19" t="n"/>
      <c r="H980" s="19" t="n"/>
      <c r="I980" s="19" t="n"/>
      <c r="J980" s="19" t="n"/>
      <c r="K980" s="20" t="n"/>
      <c r="L980" s="22">
        <f>IF(OR(B980="",K980=""),"",K980-B980)</f>
        <v/>
      </c>
      <c r="M980" s="19" t="n"/>
      <c r="N980" s="19" t="n"/>
      <c r="O980" s="20" t="n"/>
      <c r="P980" s="19" t="n"/>
    </row>
    <row r="981">
      <c r="A981" s="19" t="n"/>
      <c r="B981" s="20" t="n"/>
      <c r="C981" s="21">
        <f>IF(B981="","",DATE(YEAR(B981),MONTH(B981),1))</f>
        <v/>
      </c>
      <c r="D981" s="19" t="n"/>
      <c r="E981" s="19" t="n"/>
      <c r="F981" s="19" t="n"/>
      <c r="G981" s="19" t="n"/>
      <c r="H981" s="19" t="n"/>
      <c r="I981" s="19" t="n"/>
      <c r="J981" s="19" t="n"/>
      <c r="K981" s="20" t="n"/>
      <c r="L981" s="22">
        <f>IF(OR(B981="",K981=""),"",K981-B981)</f>
        <v/>
      </c>
      <c r="M981" s="19" t="n"/>
      <c r="N981" s="19" t="n"/>
      <c r="O981" s="20" t="n"/>
      <c r="P981" s="19" t="n"/>
    </row>
    <row r="982">
      <c r="A982" s="19" t="n"/>
      <c r="B982" s="20" t="n"/>
      <c r="C982" s="21">
        <f>IF(B982="","",DATE(YEAR(B982),MONTH(B982),1))</f>
        <v/>
      </c>
      <c r="D982" s="19" t="n"/>
      <c r="E982" s="19" t="n"/>
      <c r="F982" s="19" t="n"/>
      <c r="G982" s="19" t="n"/>
      <c r="H982" s="19" t="n"/>
      <c r="I982" s="19" t="n"/>
      <c r="J982" s="19" t="n"/>
      <c r="K982" s="20" t="n"/>
      <c r="L982" s="22">
        <f>IF(OR(B982="",K982=""),"",K982-B982)</f>
        <v/>
      </c>
      <c r="M982" s="19" t="n"/>
      <c r="N982" s="19" t="n"/>
      <c r="O982" s="20" t="n"/>
      <c r="P982" s="19" t="n"/>
    </row>
    <row r="983">
      <c r="A983" s="19" t="n"/>
      <c r="B983" s="20" t="n"/>
      <c r="C983" s="21">
        <f>IF(B983="","",DATE(YEAR(B983),MONTH(B983),1))</f>
        <v/>
      </c>
      <c r="D983" s="19" t="n"/>
      <c r="E983" s="19" t="n"/>
      <c r="F983" s="19" t="n"/>
      <c r="G983" s="19" t="n"/>
      <c r="H983" s="19" t="n"/>
      <c r="I983" s="19" t="n"/>
      <c r="J983" s="19" t="n"/>
      <c r="K983" s="20" t="n"/>
      <c r="L983" s="22">
        <f>IF(OR(B983="",K983=""),"",K983-B983)</f>
        <v/>
      </c>
      <c r="M983" s="19" t="n"/>
      <c r="N983" s="19" t="n"/>
      <c r="O983" s="20" t="n"/>
      <c r="P983" s="19" t="n"/>
    </row>
    <row r="984">
      <c r="A984" s="19" t="n"/>
      <c r="B984" s="20" t="n"/>
      <c r="C984" s="21">
        <f>IF(B984="","",DATE(YEAR(B984),MONTH(B984),1))</f>
        <v/>
      </c>
      <c r="D984" s="19" t="n"/>
      <c r="E984" s="19" t="n"/>
      <c r="F984" s="19" t="n"/>
      <c r="G984" s="19" t="n"/>
      <c r="H984" s="19" t="n"/>
      <c r="I984" s="19" t="n"/>
      <c r="J984" s="19" t="n"/>
      <c r="K984" s="20" t="n"/>
      <c r="L984" s="22">
        <f>IF(OR(B984="",K984=""),"",K984-B984)</f>
        <v/>
      </c>
      <c r="M984" s="19" t="n"/>
      <c r="N984" s="19" t="n"/>
      <c r="O984" s="20" t="n"/>
      <c r="P984" s="19" t="n"/>
    </row>
    <row r="985">
      <c r="A985" s="19" t="n"/>
      <c r="B985" s="20" t="n"/>
      <c r="C985" s="21">
        <f>IF(B985="","",DATE(YEAR(B985),MONTH(B985),1))</f>
        <v/>
      </c>
      <c r="D985" s="19" t="n"/>
      <c r="E985" s="19" t="n"/>
      <c r="F985" s="19" t="n"/>
      <c r="G985" s="19" t="n"/>
      <c r="H985" s="19" t="n"/>
      <c r="I985" s="19" t="n"/>
      <c r="J985" s="19" t="n"/>
      <c r="K985" s="20" t="n"/>
      <c r="L985" s="22">
        <f>IF(OR(B985="",K985=""),"",K985-B985)</f>
        <v/>
      </c>
      <c r="M985" s="19" t="n"/>
      <c r="N985" s="19" t="n"/>
      <c r="O985" s="20" t="n"/>
      <c r="P985" s="19" t="n"/>
    </row>
    <row r="986">
      <c r="A986" s="19" t="n"/>
      <c r="B986" s="20" t="n"/>
      <c r="C986" s="21">
        <f>IF(B986="","",DATE(YEAR(B986),MONTH(B986),1))</f>
        <v/>
      </c>
      <c r="D986" s="19" t="n"/>
      <c r="E986" s="19" t="n"/>
      <c r="F986" s="19" t="n"/>
      <c r="G986" s="19" t="n"/>
      <c r="H986" s="19" t="n"/>
      <c r="I986" s="19" t="n"/>
      <c r="J986" s="19" t="n"/>
      <c r="K986" s="20" t="n"/>
      <c r="L986" s="22">
        <f>IF(OR(B986="",K986=""),"",K986-B986)</f>
        <v/>
      </c>
      <c r="M986" s="19" t="n"/>
      <c r="N986" s="19" t="n"/>
      <c r="O986" s="20" t="n"/>
      <c r="P986" s="19" t="n"/>
    </row>
    <row r="987">
      <c r="A987" s="19" t="n"/>
      <c r="B987" s="20" t="n"/>
      <c r="C987" s="21">
        <f>IF(B987="","",DATE(YEAR(B987),MONTH(B987),1))</f>
        <v/>
      </c>
      <c r="D987" s="19" t="n"/>
      <c r="E987" s="19" t="n"/>
      <c r="F987" s="19" t="n"/>
      <c r="G987" s="19" t="n"/>
      <c r="H987" s="19" t="n"/>
      <c r="I987" s="19" t="n"/>
      <c r="J987" s="19" t="n"/>
      <c r="K987" s="20" t="n"/>
      <c r="L987" s="22">
        <f>IF(OR(B987="",K987=""),"",K987-B987)</f>
        <v/>
      </c>
      <c r="M987" s="19" t="n"/>
      <c r="N987" s="19" t="n"/>
      <c r="O987" s="20" t="n"/>
      <c r="P987" s="19" t="n"/>
    </row>
    <row r="988">
      <c r="A988" s="19" t="n"/>
      <c r="B988" s="20" t="n"/>
      <c r="C988" s="21">
        <f>IF(B988="","",DATE(YEAR(B988),MONTH(B988),1))</f>
        <v/>
      </c>
      <c r="D988" s="19" t="n"/>
      <c r="E988" s="19" t="n"/>
      <c r="F988" s="19" t="n"/>
      <c r="G988" s="19" t="n"/>
      <c r="H988" s="19" t="n"/>
      <c r="I988" s="19" t="n"/>
      <c r="J988" s="19" t="n"/>
      <c r="K988" s="20" t="n"/>
      <c r="L988" s="22">
        <f>IF(OR(B988="",K988=""),"",K988-B988)</f>
        <v/>
      </c>
      <c r="M988" s="19" t="n"/>
      <c r="N988" s="19" t="n"/>
      <c r="O988" s="20" t="n"/>
      <c r="P988" s="19" t="n"/>
    </row>
    <row r="989">
      <c r="A989" s="19" t="n"/>
      <c r="B989" s="20" t="n"/>
      <c r="C989" s="21">
        <f>IF(B989="","",DATE(YEAR(B989),MONTH(B989),1))</f>
        <v/>
      </c>
      <c r="D989" s="19" t="n"/>
      <c r="E989" s="19" t="n"/>
      <c r="F989" s="19" t="n"/>
      <c r="G989" s="19" t="n"/>
      <c r="H989" s="19" t="n"/>
      <c r="I989" s="19" t="n"/>
      <c r="J989" s="19" t="n"/>
      <c r="K989" s="20" t="n"/>
      <c r="L989" s="22">
        <f>IF(OR(B989="",K989=""),"",K989-B989)</f>
        <v/>
      </c>
      <c r="M989" s="19" t="n"/>
      <c r="N989" s="19" t="n"/>
      <c r="O989" s="20" t="n"/>
      <c r="P989" s="19" t="n"/>
    </row>
    <row r="990">
      <c r="A990" s="19" t="n"/>
      <c r="B990" s="20" t="n"/>
      <c r="C990" s="21">
        <f>IF(B990="","",DATE(YEAR(B990),MONTH(B990),1))</f>
        <v/>
      </c>
      <c r="D990" s="19" t="n"/>
      <c r="E990" s="19" t="n"/>
      <c r="F990" s="19" t="n"/>
      <c r="G990" s="19" t="n"/>
      <c r="H990" s="19" t="n"/>
      <c r="I990" s="19" t="n"/>
      <c r="J990" s="19" t="n"/>
      <c r="K990" s="20" t="n"/>
      <c r="L990" s="22">
        <f>IF(OR(B990="",K990=""),"",K990-B990)</f>
        <v/>
      </c>
      <c r="M990" s="19" t="n"/>
      <c r="N990" s="19" t="n"/>
      <c r="O990" s="20" t="n"/>
      <c r="P990" s="19" t="n"/>
    </row>
    <row r="991">
      <c r="A991" s="19" t="n"/>
      <c r="B991" s="20" t="n"/>
      <c r="C991" s="21">
        <f>IF(B991="","",DATE(YEAR(B991),MONTH(B991),1))</f>
        <v/>
      </c>
      <c r="D991" s="19" t="n"/>
      <c r="E991" s="19" t="n"/>
      <c r="F991" s="19" t="n"/>
      <c r="G991" s="19" t="n"/>
      <c r="H991" s="19" t="n"/>
      <c r="I991" s="19" t="n"/>
      <c r="J991" s="19" t="n"/>
      <c r="K991" s="20" t="n"/>
      <c r="L991" s="22">
        <f>IF(OR(B991="",K991=""),"",K991-B991)</f>
        <v/>
      </c>
      <c r="M991" s="19" t="n"/>
      <c r="N991" s="19" t="n"/>
      <c r="O991" s="20" t="n"/>
      <c r="P991" s="19" t="n"/>
    </row>
    <row r="992">
      <c r="A992" s="19" t="n"/>
      <c r="B992" s="20" t="n"/>
      <c r="C992" s="21">
        <f>IF(B992="","",DATE(YEAR(B992),MONTH(B992),1))</f>
        <v/>
      </c>
      <c r="D992" s="19" t="n"/>
      <c r="E992" s="19" t="n"/>
      <c r="F992" s="19" t="n"/>
      <c r="G992" s="19" t="n"/>
      <c r="H992" s="19" t="n"/>
      <c r="I992" s="19" t="n"/>
      <c r="J992" s="19" t="n"/>
      <c r="K992" s="20" t="n"/>
      <c r="L992" s="22">
        <f>IF(OR(B992="",K992=""),"",K992-B992)</f>
        <v/>
      </c>
      <c r="M992" s="19" t="n"/>
      <c r="N992" s="19" t="n"/>
      <c r="O992" s="20" t="n"/>
      <c r="P992" s="19" t="n"/>
    </row>
    <row r="993">
      <c r="A993" s="19" t="n"/>
      <c r="B993" s="20" t="n"/>
      <c r="C993" s="21">
        <f>IF(B993="","",DATE(YEAR(B993),MONTH(B993),1))</f>
        <v/>
      </c>
      <c r="D993" s="19" t="n"/>
      <c r="E993" s="19" t="n"/>
      <c r="F993" s="19" t="n"/>
      <c r="G993" s="19" t="n"/>
      <c r="H993" s="19" t="n"/>
      <c r="I993" s="19" t="n"/>
      <c r="J993" s="19" t="n"/>
      <c r="K993" s="20" t="n"/>
      <c r="L993" s="22">
        <f>IF(OR(B993="",K993=""),"",K993-B993)</f>
        <v/>
      </c>
      <c r="M993" s="19" t="n"/>
      <c r="N993" s="19" t="n"/>
      <c r="O993" s="20" t="n"/>
      <c r="P993" s="19" t="n"/>
    </row>
    <row r="994">
      <c r="A994" s="19" t="n"/>
      <c r="B994" s="20" t="n"/>
      <c r="C994" s="21">
        <f>IF(B994="","",DATE(YEAR(B994),MONTH(B994),1))</f>
        <v/>
      </c>
      <c r="D994" s="19" t="n"/>
      <c r="E994" s="19" t="n"/>
      <c r="F994" s="19" t="n"/>
      <c r="G994" s="19" t="n"/>
      <c r="H994" s="19" t="n"/>
      <c r="I994" s="19" t="n"/>
      <c r="J994" s="19" t="n"/>
      <c r="K994" s="20" t="n"/>
      <c r="L994" s="22">
        <f>IF(OR(B994="",K994=""),"",K994-B994)</f>
        <v/>
      </c>
      <c r="M994" s="19" t="n"/>
      <c r="N994" s="19" t="n"/>
      <c r="O994" s="20" t="n"/>
      <c r="P994" s="19" t="n"/>
    </row>
    <row r="995">
      <c r="A995" s="19" t="n"/>
      <c r="B995" s="20" t="n"/>
      <c r="C995" s="21">
        <f>IF(B995="","",DATE(YEAR(B995),MONTH(B995),1))</f>
        <v/>
      </c>
      <c r="D995" s="19" t="n"/>
      <c r="E995" s="19" t="n"/>
      <c r="F995" s="19" t="n"/>
      <c r="G995" s="19" t="n"/>
      <c r="H995" s="19" t="n"/>
      <c r="I995" s="19" t="n"/>
      <c r="J995" s="19" t="n"/>
      <c r="K995" s="20" t="n"/>
      <c r="L995" s="22">
        <f>IF(OR(B995="",K995=""),"",K995-B995)</f>
        <v/>
      </c>
      <c r="M995" s="19" t="n"/>
      <c r="N995" s="19" t="n"/>
      <c r="O995" s="20" t="n"/>
      <c r="P995" s="19" t="n"/>
    </row>
    <row r="996">
      <c r="A996" s="19" t="n"/>
      <c r="B996" s="20" t="n"/>
      <c r="C996" s="21">
        <f>IF(B996="","",DATE(YEAR(B996),MONTH(B996),1))</f>
        <v/>
      </c>
      <c r="D996" s="19" t="n"/>
      <c r="E996" s="19" t="n"/>
      <c r="F996" s="19" t="n"/>
      <c r="G996" s="19" t="n"/>
      <c r="H996" s="19" t="n"/>
      <c r="I996" s="19" t="n"/>
      <c r="J996" s="19" t="n"/>
      <c r="K996" s="20" t="n"/>
      <c r="L996" s="22">
        <f>IF(OR(B996="",K996=""),"",K996-B996)</f>
        <v/>
      </c>
      <c r="M996" s="19" t="n"/>
      <c r="N996" s="19" t="n"/>
      <c r="O996" s="20" t="n"/>
      <c r="P996" s="19" t="n"/>
    </row>
    <row r="997">
      <c r="A997" s="19" t="n"/>
      <c r="B997" s="20" t="n"/>
      <c r="C997" s="21">
        <f>IF(B997="","",DATE(YEAR(B997),MONTH(B997),1))</f>
        <v/>
      </c>
      <c r="D997" s="19" t="n"/>
      <c r="E997" s="19" t="n"/>
      <c r="F997" s="19" t="n"/>
      <c r="G997" s="19" t="n"/>
      <c r="H997" s="19" t="n"/>
      <c r="I997" s="19" t="n"/>
      <c r="J997" s="19" t="n"/>
      <c r="K997" s="20" t="n"/>
      <c r="L997" s="22">
        <f>IF(OR(B997="",K997=""),"",K997-B997)</f>
        <v/>
      </c>
      <c r="M997" s="19" t="n"/>
      <c r="N997" s="19" t="n"/>
      <c r="O997" s="20" t="n"/>
      <c r="P997" s="19" t="n"/>
    </row>
    <row r="998">
      <c r="A998" s="19" t="n"/>
      <c r="B998" s="20" t="n"/>
      <c r="C998" s="21">
        <f>IF(B998="","",DATE(YEAR(B998),MONTH(B998),1))</f>
        <v/>
      </c>
      <c r="D998" s="19" t="n"/>
      <c r="E998" s="19" t="n"/>
      <c r="F998" s="19" t="n"/>
      <c r="G998" s="19" t="n"/>
      <c r="H998" s="19" t="n"/>
      <c r="I998" s="19" t="n"/>
      <c r="J998" s="19" t="n"/>
      <c r="K998" s="20" t="n"/>
      <c r="L998" s="22">
        <f>IF(OR(B998="",K998=""),"",K998-B998)</f>
        <v/>
      </c>
      <c r="M998" s="19" t="n"/>
      <c r="N998" s="19" t="n"/>
      <c r="O998" s="20" t="n"/>
      <c r="P998" s="19" t="n"/>
    </row>
    <row r="999">
      <c r="A999" s="19" t="n"/>
      <c r="B999" s="20" t="n"/>
      <c r="C999" s="21">
        <f>IF(B999="","",DATE(YEAR(B999),MONTH(B999),1))</f>
        <v/>
      </c>
      <c r="D999" s="19" t="n"/>
      <c r="E999" s="19" t="n"/>
      <c r="F999" s="19" t="n"/>
      <c r="G999" s="19" t="n"/>
      <c r="H999" s="19" t="n"/>
      <c r="I999" s="19" t="n"/>
      <c r="J999" s="19" t="n"/>
      <c r="K999" s="20" t="n"/>
      <c r="L999" s="22">
        <f>IF(OR(B999="",K999=""),"",K999-B999)</f>
        <v/>
      </c>
      <c r="M999" s="19" t="n"/>
      <c r="N999" s="19" t="n"/>
      <c r="O999" s="20" t="n"/>
      <c r="P999" s="19" t="n"/>
    </row>
    <row r="1000">
      <c r="A1000" s="19" t="n"/>
      <c r="B1000" s="20" t="n"/>
      <c r="C1000" s="21">
        <f>IF(B1000="","",DATE(YEAR(B1000),MONTH(B1000),1))</f>
        <v/>
      </c>
      <c r="D1000" s="19" t="n"/>
      <c r="E1000" s="19" t="n"/>
      <c r="F1000" s="19" t="n"/>
      <c r="G1000" s="19" t="n"/>
      <c r="H1000" s="19" t="n"/>
      <c r="I1000" s="19" t="n"/>
      <c r="J1000" s="19" t="n"/>
      <c r="K1000" s="20" t="n"/>
      <c r="L1000" s="22">
        <f>IF(OR(B1000="",K1000=""),"",K1000-B1000)</f>
        <v/>
      </c>
      <c r="M1000" s="19" t="n"/>
      <c r="N1000" s="19" t="n"/>
      <c r="O1000" s="20" t="n"/>
      <c r="P1000" s="19" t="n"/>
    </row>
    <row r="1001">
      <c r="A1001" s="19" t="n"/>
      <c r="B1001" s="20" t="n"/>
      <c r="C1001" s="21">
        <f>IF(B1001="","",DATE(YEAR(B1001),MONTH(B1001),1))</f>
        <v/>
      </c>
      <c r="D1001" s="19" t="n"/>
      <c r="E1001" s="19" t="n"/>
      <c r="F1001" s="19" t="n"/>
      <c r="G1001" s="19" t="n"/>
      <c r="H1001" s="19" t="n"/>
      <c r="I1001" s="19" t="n"/>
      <c r="J1001" s="19" t="n"/>
      <c r="K1001" s="20" t="n"/>
      <c r="L1001" s="22">
        <f>IF(OR(B1001="",K1001=""),"",K1001-B1001)</f>
        <v/>
      </c>
      <c r="M1001" s="19" t="n"/>
      <c r="N1001" s="19" t="n"/>
      <c r="O1001" s="20" t="n"/>
      <c r="P1001" s="19" t="n"/>
    </row>
    <row r="1002">
      <c r="A1002" s="19" t="n"/>
      <c r="B1002" s="20" t="n"/>
      <c r="C1002" s="21">
        <f>IF(B1002="","",DATE(YEAR(B1002),MONTH(B1002),1))</f>
        <v/>
      </c>
      <c r="D1002" s="19" t="n"/>
      <c r="E1002" s="19" t="n"/>
      <c r="F1002" s="19" t="n"/>
      <c r="G1002" s="19" t="n"/>
      <c r="H1002" s="19" t="n"/>
      <c r="I1002" s="19" t="n"/>
      <c r="J1002" s="19" t="n"/>
      <c r="K1002" s="20" t="n"/>
      <c r="L1002" s="22">
        <f>IF(OR(B1002="",K1002=""),"",K1002-B1002)</f>
        <v/>
      </c>
      <c r="M1002" s="19" t="n"/>
      <c r="N1002" s="19" t="n"/>
      <c r="O1002" s="20" t="n"/>
      <c r="P1002" s="19" t="n"/>
    </row>
    <row r="1003">
      <c r="A1003" s="19" t="n"/>
      <c r="B1003" s="20" t="n"/>
      <c r="C1003" s="21">
        <f>IF(B1003="","",DATE(YEAR(B1003),MONTH(B1003),1))</f>
        <v/>
      </c>
      <c r="D1003" s="19" t="n"/>
      <c r="E1003" s="19" t="n"/>
      <c r="F1003" s="19" t="n"/>
      <c r="G1003" s="19" t="n"/>
      <c r="H1003" s="19" t="n"/>
      <c r="I1003" s="19" t="n"/>
      <c r="J1003" s="19" t="n"/>
      <c r="K1003" s="20" t="n"/>
      <c r="L1003" s="22">
        <f>IF(OR(B1003="",K1003=""),"",K1003-B1003)</f>
        <v/>
      </c>
      <c r="M1003" s="19" t="n"/>
      <c r="N1003" s="19" t="n"/>
      <c r="O1003" s="20" t="n"/>
      <c r="P1003" s="19" t="n"/>
    </row>
    <row r="1004">
      <c r="A1004" s="19" t="n"/>
      <c r="B1004" s="20" t="n"/>
      <c r="C1004" s="21">
        <f>IF(B1004="","",DATE(YEAR(B1004),MONTH(B1004),1))</f>
        <v/>
      </c>
      <c r="D1004" s="19" t="n"/>
      <c r="E1004" s="19" t="n"/>
      <c r="F1004" s="19" t="n"/>
      <c r="G1004" s="19" t="n"/>
      <c r="H1004" s="19" t="n"/>
      <c r="I1004" s="19" t="n"/>
      <c r="J1004" s="19" t="n"/>
      <c r="K1004" s="20" t="n"/>
      <c r="L1004" s="22">
        <f>IF(OR(B1004="",K1004=""),"",K1004-B1004)</f>
        <v/>
      </c>
      <c r="M1004" s="19" t="n"/>
      <c r="N1004" s="19" t="n"/>
      <c r="O1004" s="20" t="n"/>
      <c r="P1004" s="19" t="n"/>
    </row>
  </sheetData>
  <mergeCells count="2">
    <mergeCell ref="A1:P1"/>
    <mergeCell ref="A2:P2"/>
  </mergeCells>
  <dataValidations count="9">
    <dataValidation sqref="D5:D1004" showDropDown="0" showInputMessage="0" showErrorMessage="0" allowBlank="1" type="list">
      <formula1>"F,H"</formula1>
    </dataValidation>
    <dataValidation sqref="E5:E1004" showDropDown="0" showInputMessage="0" showErrorMessage="0" allowBlank="1" type="list">
      <formula1>"&lt; 25 ans,25–34,35–44,45–54,55 et +"</formula1>
    </dataValidation>
    <dataValidation sqref="F5:F1004" showDropDown="0" showInputMessage="0" showErrorMessage="0" allowBlank="1" type="list">
      <formula1>"Jeune diplômé,Femme en reprise,Cadre,Longue durée,Handicap,Senior,Aide sociale,Migrant,Étudiant,Jeune sans diplôme / NEET,Femme éloignée,Milieu rural,Économie informelle,Lauréat formation pro,International"</formula1>
    </dataValidation>
    <dataValidation sqref="G5:G1004" showDropDown="0" showInputMessage="0" showErrorMessage="0" allowBlank="1" type="list">
      <formula1>"Sans diplôme,Primaire/collège,Bac,Formation pro,Bac+2/3,Bac+5 et +"</formula1>
    </dataValidation>
    <dataValidation sqref="H5:H1004" showDropDown="0" showInputMessage="0" showErrorMessage="0" allowBlank="1" type="list">
      <formula1>"Urbaine,Périurbaine,Rurale"</formula1>
    </dataValidation>
    <dataValidation sqref="I5:I1004" showDropDown="0" showInputMessage="0" showErrorMessage="0" allowBlank="1" type="list">
      <formula1>"Autonome,Guidé,Renforcé,Global,Auto-emploi"</formula1>
    </dataValidation>
    <dataValidation sqref="M5:M1004" showDropDown="0" showInputMessage="0" showErrorMessage="0" allowBlank="1" type="list">
      <formula1>"CDI,CDD ≥ 6 mois,CDD &lt; 6 mois,Contrat d'insertion,Intérim,Création,Formation"</formula1>
    </dataValidation>
    <dataValidation sqref="N5:N1004" showDropDown="0" showInputMessage="0" showErrorMessage="0" allowBlank="1" type="list">
      <formula1>"Oui,Non,En attente"</formula1>
    </dataValidation>
    <dataValidation sqref="P5:P1004" showDropDown="0" showInputMessage="0" showErrorMessage="0" allowBlank="1" type="list">
      <formula1>"S1 Emploi durable,S2 Emploi court,S3 Insertion/stage,S4 Création,S5 Formation,S6 Partenaire,S7 Abandon,S8 Autre"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1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3" customWidth="1" min="11" max="11"/>
  </cols>
  <sheetData>
    <row r="1" ht="30" customHeight="1">
      <c r="A1" s="16" t="inlineStr">
        <is>
          <t>📈 COHORTES — RÉSULTATS PAR MOIS D'ENTRÉE</t>
        </is>
      </c>
    </row>
    <row r="2">
      <c r="A2" s="17" t="inlineStr">
        <is>
          <t>Chaque ligne suit les personnes entrées le même mois : un taux n'est fiable que lorsque la cohorte est complète (colonne K). Saisir l'année en B3.</t>
        </is>
      </c>
    </row>
    <row r="3">
      <c r="A3" s="14" t="inlineStr">
        <is>
          <t>Année :</t>
        </is>
      </c>
      <c r="B3" s="23" t="n">
        <v>2026</v>
      </c>
    </row>
    <row r="4" ht="42" customHeight="1">
      <c r="A4" s="18" t="inlineStr">
        <is>
          <t>Mois d'entrée</t>
        </is>
      </c>
      <c r="B4" s="18" t="inlineStr">
        <is>
          <t>Entrés</t>
        </is>
      </c>
      <c r="C4" s="18" t="inlineStr">
        <is>
          <t>Placés (à ce jour)</t>
        </is>
      </c>
      <c r="D4" s="18" t="inlineStr">
        <is>
          <t>Placés en ≤ 3 mois</t>
        </is>
      </c>
      <c r="E4" s="18" t="inlineStr">
        <is>
          <t>Taux à 3 mois</t>
        </is>
      </c>
      <c r="F4" s="18" t="inlineStr">
        <is>
          <t>Placés en ≤ 6 mois</t>
        </is>
      </c>
      <c r="G4" s="18" t="inlineStr">
        <is>
          <t>Taux à 6 mois</t>
        </is>
      </c>
      <c r="H4" s="18" t="inlineStr">
        <is>
          <t>En emploi à 6 mois</t>
        </is>
      </c>
      <c r="I4" s="18" t="inlineStr">
        <is>
          <t>Taux de maintien</t>
        </is>
      </c>
      <c r="J4" s="18" t="inlineStr">
        <is>
          <t>Délai moyen (j)</t>
        </is>
      </c>
      <c r="K4" s="18" t="inlineStr">
        <is>
          <t>Cohorte complète ?</t>
        </is>
      </c>
    </row>
    <row r="5">
      <c r="A5" s="24">
        <f>DATE($B$3,1,1)</f>
        <v/>
      </c>
      <c r="B5" s="19">
        <f>COUNTIFS(Portefeuille!$C$5:$C$1004,$A5)</f>
        <v/>
      </c>
      <c r="C5" s="19">
        <f>COUNTIFS(Portefeuille!$C$5:$C$1004,$A5,Portefeuille!$K$5:$K$1004,"&lt;&gt;")</f>
        <v/>
      </c>
      <c r="D5" s="19">
        <f>COUNTIFS(Portefeuille!$C$5:$C$1004,$A5,Portefeuille!$L$5:$L$1004,"&lt;=90")</f>
        <v/>
      </c>
      <c r="E5" s="25">
        <f>IFERROR(D5/B5,"")</f>
        <v/>
      </c>
      <c r="F5" s="19">
        <f>COUNTIFS(Portefeuille!$C$5:$C$1004,$A5,Portefeuille!$L$5:$L$1004,"&lt;=180")</f>
        <v/>
      </c>
      <c r="G5" s="25">
        <f>IFERROR(F5/B5,"")</f>
        <v/>
      </c>
      <c r="H5" s="19">
        <f>COUNTIFS(Portefeuille!$C$5:$C$1004,$A5,Portefeuille!$N$5:$N$1004,"Oui")</f>
        <v/>
      </c>
      <c r="I5" s="25">
        <f>IFERROR(H5/C5,"")</f>
        <v/>
      </c>
      <c r="J5" s="26">
        <f>IFERROR(AVERAGEIFS(Portefeuille!$L$5:$L$1004,Portefeuille!$C$5:$C$1004,$A5),"")</f>
        <v/>
      </c>
      <c r="K5" s="19">
        <f>IF(EDATE($A5,12)&lt;=TODAY(),"Oui","Non — en cours")</f>
        <v/>
      </c>
    </row>
    <row r="6">
      <c r="A6" s="24">
        <f>DATE($B$3,2,1)</f>
        <v/>
      </c>
      <c r="B6" s="19">
        <f>COUNTIFS(Portefeuille!$C$5:$C$1004,$A6)</f>
        <v/>
      </c>
      <c r="C6" s="19">
        <f>COUNTIFS(Portefeuille!$C$5:$C$1004,$A6,Portefeuille!$K$5:$K$1004,"&lt;&gt;")</f>
        <v/>
      </c>
      <c r="D6" s="19">
        <f>COUNTIFS(Portefeuille!$C$5:$C$1004,$A6,Portefeuille!$L$5:$L$1004,"&lt;=90")</f>
        <v/>
      </c>
      <c r="E6" s="25">
        <f>IFERROR(D6/B6,"")</f>
        <v/>
      </c>
      <c r="F6" s="19">
        <f>COUNTIFS(Portefeuille!$C$5:$C$1004,$A6,Portefeuille!$L$5:$L$1004,"&lt;=180")</f>
        <v/>
      </c>
      <c r="G6" s="25">
        <f>IFERROR(F6/B6,"")</f>
        <v/>
      </c>
      <c r="H6" s="19">
        <f>COUNTIFS(Portefeuille!$C$5:$C$1004,$A6,Portefeuille!$N$5:$N$1004,"Oui")</f>
        <v/>
      </c>
      <c r="I6" s="25">
        <f>IFERROR(H6/C6,"")</f>
        <v/>
      </c>
      <c r="J6" s="26">
        <f>IFERROR(AVERAGEIFS(Portefeuille!$L$5:$L$1004,Portefeuille!$C$5:$C$1004,$A6),"")</f>
        <v/>
      </c>
      <c r="K6" s="19">
        <f>IF(EDATE($A6,12)&lt;=TODAY(),"Oui","Non — en cours")</f>
        <v/>
      </c>
    </row>
    <row r="7">
      <c r="A7" s="24">
        <f>DATE($B$3,3,1)</f>
        <v/>
      </c>
      <c r="B7" s="19">
        <f>COUNTIFS(Portefeuille!$C$5:$C$1004,$A7)</f>
        <v/>
      </c>
      <c r="C7" s="19">
        <f>COUNTIFS(Portefeuille!$C$5:$C$1004,$A7,Portefeuille!$K$5:$K$1004,"&lt;&gt;")</f>
        <v/>
      </c>
      <c r="D7" s="19">
        <f>COUNTIFS(Portefeuille!$C$5:$C$1004,$A7,Portefeuille!$L$5:$L$1004,"&lt;=90")</f>
        <v/>
      </c>
      <c r="E7" s="25">
        <f>IFERROR(D7/B7,"")</f>
        <v/>
      </c>
      <c r="F7" s="19">
        <f>COUNTIFS(Portefeuille!$C$5:$C$1004,$A7,Portefeuille!$L$5:$L$1004,"&lt;=180")</f>
        <v/>
      </c>
      <c r="G7" s="25">
        <f>IFERROR(F7/B7,"")</f>
        <v/>
      </c>
      <c r="H7" s="19">
        <f>COUNTIFS(Portefeuille!$C$5:$C$1004,$A7,Portefeuille!$N$5:$N$1004,"Oui")</f>
        <v/>
      </c>
      <c r="I7" s="25">
        <f>IFERROR(H7/C7,"")</f>
        <v/>
      </c>
      <c r="J7" s="26">
        <f>IFERROR(AVERAGEIFS(Portefeuille!$L$5:$L$1004,Portefeuille!$C$5:$C$1004,$A7),"")</f>
        <v/>
      </c>
      <c r="K7" s="19">
        <f>IF(EDATE($A7,12)&lt;=TODAY(),"Oui","Non — en cours")</f>
        <v/>
      </c>
    </row>
    <row r="8">
      <c r="A8" s="24">
        <f>DATE($B$3,4,1)</f>
        <v/>
      </c>
      <c r="B8" s="19">
        <f>COUNTIFS(Portefeuille!$C$5:$C$1004,$A8)</f>
        <v/>
      </c>
      <c r="C8" s="19">
        <f>COUNTIFS(Portefeuille!$C$5:$C$1004,$A8,Portefeuille!$K$5:$K$1004,"&lt;&gt;")</f>
        <v/>
      </c>
      <c r="D8" s="19">
        <f>COUNTIFS(Portefeuille!$C$5:$C$1004,$A8,Portefeuille!$L$5:$L$1004,"&lt;=90")</f>
        <v/>
      </c>
      <c r="E8" s="25">
        <f>IFERROR(D8/B8,"")</f>
        <v/>
      </c>
      <c r="F8" s="19">
        <f>COUNTIFS(Portefeuille!$C$5:$C$1004,$A8,Portefeuille!$L$5:$L$1004,"&lt;=180")</f>
        <v/>
      </c>
      <c r="G8" s="25">
        <f>IFERROR(F8/B8,"")</f>
        <v/>
      </c>
      <c r="H8" s="19">
        <f>COUNTIFS(Portefeuille!$C$5:$C$1004,$A8,Portefeuille!$N$5:$N$1004,"Oui")</f>
        <v/>
      </c>
      <c r="I8" s="25">
        <f>IFERROR(H8/C8,"")</f>
        <v/>
      </c>
      <c r="J8" s="26">
        <f>IFERROR(AVERAGEIFS(Portefeuille!$L$5:$L$1004,Portefeuille!$C$5:$C$1004,$A8),"")</f>
        <v/>
      </c>
      <c r="K8" s="19">
        <f>IF(EDATE($A8,12)&lt;=TODAY(),"Oui","Non — en cours")</f>
        <v/>
      </c>
    </row>
    <row r="9">
      <c r="A9" s="24">
        <f>DATE($B$3,5,1)</f>
        <v/>
      </c>
      <c r="B9" s="19">
        <f>COUNTIFS(Portefeuille!$C$5:$C$1004,$A9)</f>
        <v/>
      </c>
      <c r="C9" s="19">
        <f>COUNTIFS(Portefeuille!$C$5:$C$1004,$A9,Portefeuille!$K$5:$K$1004,"&lt;&gt;")</f>
        <v/>
      </c>
      <c r="D9" s="19">
        <f>COUNTIFS(Portefeuille!$C$5:$C$1004,$A9,Portefeuille!$L$5:$L$1004,"&lt;=90")</f>
        <v/>
      </c>
      <c r="E9" s="25">
        <f>IFERROR(D9/B9,"")</f>
        <v/>
      </c>
      <c r="F9" s="19">
        <f>COUNTIFS(Portefeuille!$C$5:$C$1004,$A9,Portefeuille!$L$5:$L$1004,"&lt;=180")</f>
        <v/>
      </c>
      <c r="G9" s="25">
        <f>IFERROR(F9/B9,"")</f>
        <v/>
      </c>
      <c r="H9" s="19">
        <f>COUNTIFS(Portefeuille!$C$5:$C$1004,$A9,Portefeuille!$N$5:$N$1004,"Oui")</f>
        <v/>
      </c>
      <c r="I9" s="25">
        <f>IFERROR(H9/C9,"")</f>
        <v/>
      </c>
      <c r="J9" s="26">
        <f>IFERROR(AVERAGEIFS(Portefeuille!$L$5:$L$1004,Portefeuille!$C$5:$C$1004,$A9),"")</f>
        <v/>
      </c>
      <c r="K9" s="19">
        <f>IF(EDATE($A9,12)&lt;=TODAY(),"Oui","Non — en cours")</f>
        <v/>
      </c>
    </row>
    <row r="10">
      <c r="A10" s="24">
        <f>DATE($B$3,6,1)</f>
        <v/>
      </c>
      <c r="B10" s="19">
        <f>COUNTIFS(Portefeuille!$C$5:$C$1004,$A10)</f>
        <v/>
      </c>
      <c r="C10" s="19">
        <f>COUNTIFS(Portefeuille!$C$5:$C$1004,$A10,Portefeuille!$K$5:$K$1004,"&lt;&gt;")</f>
        <v/>
      </c>
      <c r="D10" s="19">
        <f>COUNTIFS(Portefeuille!$C$5:$C$1004,$A10,Portefeuille!$L$5:$L$1004,"&lt;=90")</f>
        <v/>
      </c>
      <c r="E10" s="25">
        <f>IFERROR(D10/B10,"")</f>
        <v/>
      </c>
      <c r="F10" s="19">
        <f>COUNTIFS(Portefeuille!$C$5:$C$1004,$A10,Portefeuille!$L$5:$L$1004,"&lt;=180")</f>
        <v/>
      </c>
      <c r="G10" s="25">
        <f>IFERROR(F10/B10,"")</f>
        <v/>
      </c>
      <c r="H10" s="19">
        <f>COUNTIFS(Portefeuille!$C$5:$C$1004,$A10,Portefeuille!$N$5:$N$1004,"Oui")</f>
        <v/>
      </c>
      <c r="I10" s="25">
        <f>IFERROR(H10/C10,"")</f>
        <v/>
      </c>
      <c r="J10" s="26">
        <f>IFERROR(AVERAGEIFS(Portefeuille!$L$5:$L$1004,Portefeuille!$C$5:$C$1004,$A10),"")</f>
        <v/>
      </c>
      <c r="K10" s="19">
        <f>IF(EDATE($A10,12)&lt;=TODAY(),"Oui","Non — en cours")</f>
        <v/>
      </c>
    </row>
    <row r="11">
      <c r="A11" s="24">
        <f>DATE($B$3,7,1)</f>
        <v/>
      </c>
      <c r="B11" s="19">
        <f>COUNTIFS(Portefeuille!$C$5:$C$1004,$A11)</f>
        <v/>
      </c>
      <c r="C11" s="19">
        <f>COUNTIFS(Portefeuille!$C$5:$C$1004,$A11,Portefeuille!$K$5:$K$1004,"&lt;&gt;")</f>
        <v/>
      </c>
      <c r="D11" s="19">
        <f>COUNTIFS(Portefeuille!$C$5:$C$1004,$A11,Portefeuille!$L$5:$L$1004,"&lt;=90")</f>
        <v/>
      </c>
      <c r="E11" s="25">
        <f>IFERROR(D11/B11,"")</f>
        <v/>
      </c>
      <c r="F11" s="19">
        <f>COUNTIFS(Portefeuille!$C$5:$C$1004,$A11,Portefeuille!$L$5:$L$1004,"&lt;=180")</f>
        <v/>
      </c>
      <c r="G11" s="25">
        <f>IFERROR(F11/B11,"")</f>
        <v/>
      </c>
      <c r="H11" s="19">
        <f>COUNTIFS(Portefeuille!$C$5:$C$1004,$A11,Portefeuille!$N$5:$N$1004,"Oui")</f>
        <v/>
      </c>
      <c r="I11" s="25">
        <f>IFERROR(H11/C11,"")</f>
        <v/>
      </c>
      <c r="J11" s="26">
        <f>IFERROR(AVERAGEIFS(Portefeuille!$L$5:$L$1004,Portefeuille!$C$5:$C$1004,$A11),"")</f>
        <v/>
      </c>
      <c r="K11" s="19">
        <f>IF(EDATE($A11,12)&lt;=TODAY(),"Oui","Non — en cours")</f>
        <v/>
      </c>
    </row>
    <row r="12">
      <c r="A12" s="24">
        <f>DATE($B$3,8,1)</f>
        <v/>
      </c>
      <c r="B12" s="19">
        <f>COUNTIFS(Portefeuille!$C$5:$C$1004,$A12)</f>
        <v/>
      </c>
      <c r="C12" s="19">
        <f>COUNTIFS(Portefeuille!$C$5:$C$1004,$A12,Portefeuille!$K$5:$K$1004,"&lt;&gt;")</f>
        <v/>
      </c>
      <c r="D12" s="19">
        <f>COUNTIFS(Portefeuille!$C$5:$C$1004,$A12,Portefeuille!$L$5:$L$1004,"&lt;=90")</f>
        <v/>
      </c>
      <c r="E12" s="25">
        <f>IFERROR(D12/B12,"")</f>
        <v/>
      </c>
      <c r="F12" s="19">
        <f>COUNTIFS(Portefeuille!$C$5:$C$1004,$A12,Portefeuille!$L$5:$L$1004,"&lt;=180")</f>
        <v/>
      </c>
      <c r="G12" s="25">
        <f>IFERROR(F12/B12,"")</f>
        <v/>
      </c>
      <c r="H12" s="19">
        <f>COUNTIFS(Portefeuille!$C$5:$C$1004,$A12,Portefeuille!$N$5:$N$1004,"Oui")</f>
        <v/>
      </c>
      <c r="I12" s="25">
        <f>IFERROR(H12/C12,"")</f>
        <v/>
      </c>
      <c r="J12" s="26">
        <f>IFERROR(AVERAGEIFS(Portefeuille!$L$5:$L$1004,Portefeuille!$C$5:$C$1004,$A12),"")</f>
        <v/>
      </c>
      <c r="K12" s="19">
        <f>IF(EDATE($A12,12)&lt;=TODAY(),"Oui","Non — en cours")</f>
        <v/>
      </c>
    </row>
    <row r="13">
      <c r="A13" s="24">
        <f>DATE($B$3,9,1)</f>
        <v/>
      </c>
      <c r="B13" s="19">
        <f>COUNTIFS(Portefeuille!$C$5:$C$1004,$A13)</f>
        <v/>
      </c>
      <c r="C13" s="19">
        <f>COUNTIFS(Portefeuille!$C$5:$C$1004,$A13,Portefeuille!$K$5:$K$1004,"&lt;&gt;")</f>
        <v/>
      </c>
      <c r="D13" s="19">
        <f>COUNTIFS(Portefeuille!$C$5:$C$1004,$A13,Portefeuille!$L$5:$L$1004,"&lt;=90")</f>
        <v/>
      </c>
      <c r="E13" s="25">
        <f>IFERROR(D13/B13,"")</f>
        <v/>
      </c>
      <c r="F13" s="19">
        <f>COUNTIFS(Portefeuille!$C$5:$C$1004,$A13,Portefeuille!$L$5:$L$1004,"&lt;=180")</f>
        <v/>
      </c>
      <c r="G13" s="25">
        <f>IFERROR(F13/B13,"")</f>
        <v/>
      </c>
      <c r="H13" s="19">
        <f>COUNTIFS(Portefeuille!$C$5:$C$1004,$A13,Portefeuille!$N$5:$N$1004,"Oui")</f>
        <v/>
      </c>
      <c r="I13" s="25">
        <f>IFERROR(H13/C13,"")</f>
        <v/>
      </c>
      <c r="J13" s="26">
        <f>IFERROR(AVERAGEIFS(Portefeuille!$L$5:$L$1004,Portefeuille!$C$5:$C$1004,$A13),"")</f>
        <v/>
      </c>
      <c r="K13" s="19">
        <f>IF(EDATE($A13,12)&lt;=TODAY(),"Oui","Non — en cours")</f>
        <v/>
      </c>
    </row>
    <row r="14">
      <c r="A14" s="24">
        <f>DATE($B$3,10,1)</f>
        <v/>
      </c>
      <c r="B14" s="19">
        <f>COUNTIFS(Portefeuille!$C$5:$C$1004,$A14)</f>
        <v/>
      </c>
      <c r="C14" s="19">
        <f>COUNTIFS(Portefeuille!$C$5:$C$1004,$A14,Portefeuille!$K$5:$K$1004,"&lt;&gt;")</f>
        <v/>
      </c>
      <c r="D14" s="19">
        <f>COUNTIFS(Portefeuille!$C$5:$C$1004,$A14,Portefeuille!$L$5:$L$1004,"&lt;=90")</f>
        <v/>
      </c>
      <c r="E14" s="25">
        <f>IFERROR(D14/B14,"")</f>
        <v/>
      </c>
      <c r="F14" s="19">
        <f>COUNTIFS(Portefeuille!$C$5:$C$1004,$A14,Portefeuille!$L$5:$L$1004,"&lt;=180")</f>
        <v/>
      </c>
      <c r="G14" s="25">
        <f>IFERROR(F14/B14,"")</f>
        <v/>
      </c>
      <c r="H14" s="19">
        <f>COUNTIFS(Portefeuille!$C$5:$C$1004,$A14,Portefeuille!$N$5:$N$1004,"Oui")</f>
        <v/>
      </c>
      <c r="I14" s="25">
        <f>IFERROR(H14/C14,"")</f>
        <v/>
      </c>
      <c r="J14" s="26">
        <f>IFERROR(AVERAGEIFS(Portefeuille!$L$5:$L$1004,Portefeuille!$C$5:$C$1004,$A14),"")</f>
        <v/>
      </c>
      <c r="K14" s="19">
        <f>IF(EDATE($A14,12)&lt;=TODAY(),"Oui","Non — en cours")</f>
        <v/>
      </c>
    </row>
    <row r="15">
      <c r="A15" s="24">
        <f>DATE($B$3,11,1)</f>
        <v/>
      </c>
      <c r="B15" s="19">
        <f>COUNTIFS(Portefeuille!$C$5:$C$1004,$A15)</f>
        <v/>
      </c>
      <c r="C15" s="19">
        <f>COUNTIFS(Portefeuille!$C$5:$C$1004,$A15,Portefeuille!$K$5:$K$1004,"&lt;&gt;")</f>
        <v/>
      </c>
      <c r="D15" s="19">
        <f>COUNTIFS(Portefeuille!$C$5:$C$1004,$A15,Portefeuille!$L$5:$L$1004,"&lt;=90")</f>
        <v/>
      </c>
      <c r="E15" s="25">
        <f>IFERROR(D15/B15,"")</f>
        <v/>
      </c>
      <c r="F15" s="19">
        <f>COUNTIFS(Portefeuille!$C$5:$C$1004,$A15,Portefeuille!$L$5:$L$1004,"&lt;=180")</f>
        <v/>
      </c>
      <c r="G15" s="25">
        <f>IFERROR(F15/B15,"")</f>
        <v/>
      </c>
      <c r="H15" s="19">
        <f>COUNTIFS(Portefeuille!$C$5:$C$1004,$A15,Portefeuille!$N$5:$N$1004,"Oui")</f>
        <v/>
      </c>
      <c r="I15" s="25">
        <f>IFERROR(H15/C15,"")</f>
        <v/>
      </c>
      <c r="J15" s="26">
        <f>IFERROR(AVERAGEIFS(Portefeuille!$L$5:$L$1004,Portefeuille!$C$5:$C$1004,$A15),"")</f>
        <v/>
      </c>
      <c r="K15" s="19">
        <f>IF(EDATE($A15,12)&lt;=TODAY(),"Oui","Non — en cours")</f>
        <v/>
      </c>
    </row>
    <row r="16">
      <c r="A16" s="24">
        <f>DATE($B$3,12,1)</f>
        <v/>
      </c>
      <c r="B16" s="19">
        <f>COUNTIFS(Portefeuille!$C$5:$C$1004,$A16)</f>
        <v/>
      </c>
      <c r="C16" s="19">
        <f>COUNTIFS(Portefeuille!$C$5:$C$1004,$A16,Portefeuille!$K$5:$K$1004,"&lt;&gt;")</f>
        <v/>
      </c>
      <c r="D16" s="19">
        <f>COUNTIFS(Portefeuille!$C$5:$C$1004,$A16,Portefeuille!$L$5:$L$1004,"&lt;=90")</f>
        <v/>
      </c>
      <c r="E16" s="25">
        <f>IFERROR(D16/B16,"")</f>
        <v/>
      </c>
      <c r="F16" s="19">
        <f>COUNTIFS(Portefeuille!$C$5:$C$1004,$A16,Portefeuille!$L$5:$L$1004,"&lt;=180")</f>
        <v/>
      </c>
      <c r="G16" s="25">
        <f>IFERROR(F16/B16,"")</f>
        <v/>
      </c>
      <c r="H16" s="19">
        <f>COUNTIFS(Portefeuille!$C$5:$C$1004,$A16,Portefeuille!$N$5:$N$1004,"Oui")</f>
        <v/>
      </c>
      <c r="I16" s="25">
        <f>IFERROR(H16/C16,"")</f>
        <v/>
      </c>
      <c r="J16" s="26">
        <f>IFERROR(AVERAGEIFS(Portefeuille!$L$5:$L$1004,Portefeuille!$C$5:$C$1004,$A16),"")</f>
        <v/>
      </c>
      <c r="K16" s="19">
        <f>IF(EDATE($A16,12)&lt;=TODAY(),"Oui","Non — en cours")</f>
        <v/>
      </c>
    </row>
    <row r="17">
      <c r="A17" s="10" t="inlineStr">
        <is>
          <t>TOTAL ANNÉE</t>
        </is>
      </c>
      <c r="B17" s="10">
        <f>SUM(B5:B16)</f>
        <v/>
      </c>
      <c r="C17" s="10">
        <f>SUM(C5:C16)</f>
        <v/>
      </c>
      <c r="D17" s="10">
        <f>SUM(D5:D16)</f>
        <v/>
      </c>
      <c r="E17" s="27">
        <f>IFERROR(D17/B17,"")</f>
        <v/>
      </c>
      <c r="F17" s="10">
        <f>SUM(F5:F16)</f>
        <v/>
      </c>
      <c r="G17" s="27">
        <f>IFERROR(F17/B17,"")</f>
        <v/>
      </c>
      <c r="H17" s="10">
        <f>SUM(H5:H16)</f>
        <v/>
      </c>
      <c r="I17" s="27">
        <f>IFERROR(H17/C17,"")</f>
        <v/>
      </c>
      <c r="J17" s="28">
        <f>IFERROR(AVERAGEIFS(Portefeuille!$L$5:$L$1004,Portefeuille!$C$5:$C$1004,"&gt;="&amp;A5,Portefeuille!$C$5:$C$1004,"&lt;="&amp;A16),"")</f>
        <v/>
      </c>
      <c r="K17" s="10" t="n"/>
    </row>
    <row r="19">
      <c r="A19" s="17" t="inlineStr">
        <is>
          <t>Lecture : « Taux à 6 mois » = part des personnes entrées ce mois-là qui ont trouvé un emploi en 6 mois ou moins. Comparer les mois entre eux, pas avec le mois en cours.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3" customWidth="1" min="3" max="3"/>
    <col width="11" customWidth="1" min="4" max="4"/>
    <col width="10" customWidth="1" min="5" max="5"/>
    <col width="12" customWidth="1" min="6" max="6"/>
    <col width="13" customWidth="1" min="7" max="7"/>
    <col width="12" customWidth="1" min="8" max="8"/>
    <col width="12" customWidth="1" min="9" max="9"/>
  </cols>
  <sheetData>
    <row r="1" ht="30" customHeight="1">
      <c r="A1" s="16" t="inlineStr">
        <is>
          <t>⚖️ ÉQUITÉ — RÉSULTATS PAR PUBLIC, GENRE, ZONE ET MODE</t>
        </is>
      </c>
    </row>
    <row r="2">
      <c r="A2" s="17" t="inlineStr">
        <is>
          <t>Repérer les publics qui ont moins accès aux résultats (écart négatif en rouge) : risque d'écrémage. Calcul automatique à partir de l'onglet Portefeuille.</t>
        </is>
      </c>
    </row>
    <row r="3">
      <c r="A3" s="10" t="inlineStr">
        <is>
          <t>Ensemble</t>
        </is>
      </c>
      <c r="C3" s="29">
        <f>COUNT(Portefeuille!$B$5:$B$1004)</f>
        <v/>
      </c>
      <c r="E3" s="29">
        <f>COUNTIFS(Portefeuille!$B$5:$B$1004,"&lt;&gt;",Portefeuille!$K$5:$K$1004,"&lt;&gt;")</f>
        <v/>
      </c>
      <c r="F3" s="11">
        <f>IFERROR(E3/C3,"")</f>
        <v/>
      </c>
      <c r="H3" s="29">
        <f>COUNTIFS(Portefeuille!$B$5:$B$1004,"&lt;&gt;",Portefeuille!$N$5:$N$1004,"Oui")</f>
        <v/>
      </c>
      <c r="I3" s="11">
        <f>IFERROR(H3/E3,"")</f>
        <v/>
      </c>
    </row>
    <row r="4" ht="42" customHeight="1">
      <c r="A4" s="18" t="inlineStr">
        <is>
          <t>Axe</t>
        </is>
      </c>
      <c r="B4" s="18" t="inlineStr">
        <is>
          <t>Segment</t>
        </is>
      </c>
      <c r="C4" s="18" t="inlineStr">
        <is>
          <t>Accompagnés</t>
        </is>
      </c>
      <c r="D4" s="18" t="inlineStr">
        <is>
          <t>Part du total</t>
        </is>
      </c>
      <c r="E4" s="18" t="inlineStr">
        <is>
          <t>Placés</t>
        </is>
      </c>
      <c r="F4" s="18" t="inlineStr">
        <is>
          <t>Taux de placement</t>
        </is>
      </c>
      <c r="G4" s="18" t="inlineStr">
        <is>
          <t>Écart vs moyenne (pts)</t>
        </is>
      </c>
      <c r="H4" s="18" t="inlineStr">
        <is>
          <t>En emploi à 6 mois</t>
        </is>
      </c>
      <c r="I4" s="18" t="inlineStr">
        <is>
          <t>Taux de maintien</t>
        </is>
      </c>
    </row>
    <row r="5">
      <c r="A5" s="19" t="inlineStr">
        <is>
          <t>Genre</t>
        </is>
      </c>
      <c r="B5" s="19" t="inlineStr">
        <is>
          <t>F</t>
        </is>
      </c>
      <c r="C5" s="19">
        <f>COUNTIFS(Portefeuille!$D$5:$D$1004,$B5)</f>
        <v/>
      </c>
      <c r="D5" s="25">
        <f>IFERROR(C5/$C$3,"")</f>
        <v/>
      </c>
      <c r="E5" s="19">
        <f>COUNTIFS(Portefeuille!$D$5:$D$1004,$B5,Portefeuille!$K$5:$K$1004,"&lt;&gt;")</f>
        <v/>
      </c>
      <c r="F5" s="25">
        <f>IFERROR(E5/C5,"")</f>
        <v/>
      </c>
      <c r="G5" s="30">
        <f>IFERROR((F5-$F$3)*100,"")</f>
        <v/>
      </c>
      <c r="H5" s="19">
        <f>COUNTIFS(Portefeuille!$D$5:$D$1004,$B5,Portefeuille!$N$5:$N$1004,"Oui")</f>
        <v/>
      </c>
      <c r="I5" s="25">
        <f>IFERROR(H5/E5,"")</f>
        <v/>
      </c>
    </row>
    <row r="6">
      <c r="A6" s="19" t="inlineStr">
        <is>
          <t>Genre</t>
        </is>
      </c>
      <c r="B6" s="19" t="inlineStr">
        <is>
          <t>H</t>
        </is>
      </c>
      <c r="C6" s="19">
        <f>COUNTIFS(Portefeuille!$D$5:$D$1004,$B6)</f>
        <v/>
      </c>
      <c r="D6" s="25">
        <f>IFERROR(C6/$C$3,"")</f>
        <v/>
      </c>
      <c r="E6" s="19">
        <f>COUNTIFS(Portefeuille!$D$5:$D$1004,$B6,Portefeuille!$K$5:$K$1004,"&lt;&gt;")</f>
        <v/>
      </c>
      <c r="F6" s="25">
        <f>IFERROR(E6/C6,"")</f>
        <v/>
      </c>
      <c r="G6" s="30">
        <f>IFERROR((F6-$F$3)*100,"")</f>
        <v/>
      </c>
      <c r="H6" s="19">
        <f>COUNTIFS(Portefeuille!$D$5:$D$1004,$B6,Portefeuille!$N$5:$N$1004,"Oui")</f>
        <v/>
      </c>
      <c r="I6" s="25">
        <f>IFERROR(H6/E6,"")</f>
        <v/>
      </c>
    </row>
    <row r="8">
      <c r="A8" s="19" t="inlineStr">
        <is>
          <t>Public</t>
        </is>
      </c>
      <c r="B8" s="19" t="inlineStr">
        <is>
          <t>Jeune diplômé</t>
        </is>
      </c>
      <c r="C8" s="19">
        <f>COUNTIFS(Portefeuille!$F$5:$F$1004,$B8)</f>
        <v/>
      </c>
      <c r="D8" s="25">
        <f>IFERROR(C8/$C$3,"")</f>
        <v/>
      </c>
      <c r="E8" s="19">
        <f>COUNTIFS(Portefeuille!$F$5:$F$1004,$B8,Portefeuille!$K$5:$K$1004,"&lt;&gt;")</f>
        <v/>
      </c>
      <c r="F8" s="25">
        <f>IFERROR(E8/C8,"")</f>
        <v/>
      </c>
      <c r="G8" s="30">
        <f>IFERROR((F8-$F$3)*100,"")</f>
        <v/>
      </c>
      <c r="H8" s="19">
        <f>COUNTIFS(Portefeuille!$F$5:$F$1004,$B8,Portefeuille!$N$5:$N$1004,"Oui")</f>
        <v/>
      </c>
      <c r="I8" s="25">
        <f>IFERROR(H8/E8,"")</f>
        <v/>
      </c>
    </row>
    <row r="9">
      <c r="A9" s="19" t="inlineStr">
        <is>
          <t>Public</t>
        </is>
      </c>
      <c r="B9" s="19" t="inlineStr">
        <is>
          <t>Femme en reprise</t>
        </is>
      </c>
      <c r="C9" s="19">
        <f>COUNTIFS(Portefeuille!$F$5:$F$1004,$B9)</f>
        <v/>
      </c>
      <c r="D9" s="25">
        <f>IFERROR(C9/$C$3,"")</f>
        <v/>
      </c>
      <c r="E9" s="19">
        <f>COUNTIFS(Portefeuille!$F$5:$F$1004,$B9,Portefeuille!$K$5:$K$1004,"&lt;&gt;")</f>
        <v/>
      </c>
      <c r="F9" s="25">
        <f>IFERROR(E9/C9,"")</f>
        <v/>
      </c>
      <c r="G9" s="30">
        <f>IFERROR((F9-$F$3)*100,"")</f>
        <v/>
      </c>
      <c r="H9" s="19">
        <f>COUNTIFS(Portefeuille!$F$5:$F$1004,$B9,Portefeuille!$N$5:$N$1004,"Oui")</f>
        <v/>
      </c>
      <c r="I9" s="25">
        <f>IFERROR(H9/E9,"")</f>
        <v/>
      </c>
    </row>
    <row r="10">
      <c r="A10" s="19" t="inlineStr">
        <is>
          <t>Public</t>
        </is>
      </c>
      <c r="B10" s="19" t="inlineStr">
        <is>
          <t>Cadre</t>
        </is>
      </c>
      <c r="C10" s="19">
        <f>COUNTIFS(Portefeuille!$F$5:$F$1004,$B10)</f>
        <v/>
      </c>
      <c r="D10" s="25">
        <f>IFERROR(C10/$C$3,"")</f>
        <v/>
      </c>
      <c r="E10" s="19">
        <f>COUNTIFS(Portefeuille!$F$5:$F$1004,$B10,Portefeuille!$K$5:$K$1004,"&lt;&gt;")</f>
        <v/>
      </c>
      <c r="F10" s="25">
        <f>IFERROR(E10/C10,"")</f>
        <v/>
      </c>
      <c r="G10" s="30">
        <f>IFERROR((F10-$F$3)*100,"")</f>
        <v/>
      </c>
      <c r="H10" s="19">
        <f>COUNTIFS(Portefeuille!$F$5:$F$1004,$B10,Portefeuille!$N$5:$N$1004,"Oui")</f>
        <v/>
      </c>
      <c r="I10" s="25">
        <f>IFERROR(H10/E10,"")</f>
        <v/>
      </c>
    </row>
    <row r="11">
      <c r="A11" s="19" t="inlineStr">
        <is>
          <t>Public</t>
        </is>
      </c>
      <c r="B11" s="19" t="inlineStr">
        <is>
          <t>Longue durée</t>
        </is>
      </c>
      <c r="C11" s="19">
        <f>COUNTIFS(Portefeuille!$F$5:$F$1004,$B11)</f>
        <v/>
      </c>
      <c r="D11" s="25">
        <f>IFERROR(C11/$C$3,"")</f>
        <v/>
      </c>
      <c r="E11" s="19">
        <f>COUNTIFS(Portefeuille!$F$5:$F$1004,$B11,Portefeuille!$K$5:$K$1004,"&lt;&gt;")</f>
        <v/>
      </c>
      <c r="F11" s="25">
        <f>IFERROR(E11/C11,"")</f>
        <v/>
      </c>
      <c r="G11" s="30">
        <f>IFERROR((F11-$F$3)*100,"")</f>
        <v/>
      </c>
      <c r="H11" s="19">
        <f>COUNTIFS(Portefeuille!$F$5:$F$1004,$B11,Portefeuille!$N$5:$N$1004,"Oui")</f>
        <v/>
      </c>
      <c r="I11" s="25">
        <f>IFERROR(H11/E11,"")</f>
        <v/>
      </c>
    </row>
    <row r="12">
      <c r="A12" s="19" t="inlineStr">
        <is>
          <t>Public</t>
        </is>
      </c>
      <c r="B12" s="19" t="inlineStr">
        <is>
          <t>Handicap</t>
        </is>
      </c>
      <c r="C12" s="19">
        <f>COUNTIFS(Portefeuille!$F$5:$F$1004,$B12)</f>
        <v/>
      </c>
      <c r="D12" s="25">
        <f>IFERROR(C12/$C$3,"")</f>
        <v/>
      </c>
      <c r="E12" s="19">
        <f>COUNTIFS(Portefeuille!$F$5:$F$1004,$B12,Portefeuille!$K$5:$K$1004,"&lt;&gt;")</f>
        <v/>
      </c>
      <c r="F12" s="25">
        <f>IFERROR(E12/C12,"")</f>
        <v/>
      </c>
      <c r="G12" s="30">
        <f>IFERROR((F12-$F$3)*100,"")</f>
        <v/>
      </c>
      <c r="H12" s="19">
        <f>COUNTIFS(Portefeuille!$F$5:$F$1004,$B12,Portefeuille!$N$5:$N$1004,"Oui")</f>
        <v/>
      </c>
      <c r="I12" s="25">
        <f>IFERROR(H12/E12,"")</f>
        <v/>
      </c>
    </row>
    <row r="13">
      <c r="A13" s="19" t="inlineStr">
        <is>
          <t>Public</t>
        </is>
      </c>
      <c r="B13" s="19" t="inlineStr">
        <is>
          <t>Senior</t>
        </is>
      </c>
      <c r="C13" s="19">
        <f>COUNTIFS(Portefeuille!$F$5:$F$1004,$B13)</f>
        <v/>
      </c>
      <c r="D13" s="25">
        <f>IFERROR(C13/$C$3,"")</f>
        <v/>
      </c>
      <c r="E13" s="19">
        <f>COUNTIFS(Portefeuille!$F$5:$F$1004,$B13,Portefeuille!$K$5:$K$1004,"&lt;&gt;")</f>
        <v/>
      </c>
      <c r="F13" s="25">
        <f>IFERROR(E13/C13,"")</f>
        <v/>
      </c>
      <c r="G13" s="30">
        <f>IFERROR((F13-$F$3)*100,"")</f>
        <v/>
      </c>
      <c r="H13" s="19">
        <f>COUNTIFS(Portefeuille!$F$5:$F$1004,$B13,Portefeuille!$N$5:$N$1004,"Oui")</f>
        <v/>
      </c>
      <c r="I13" s="25">
        <f>IFERROR(H13/E13,"")</f>
        <v/>
      </c>
    </row>
    <row r="14">
      <c r="A14" s="19" t="inlineStr">
        <is>
          <t>Public</t>
        </is>
      </c>
      <c r="B14" s="19" t="inlineStr">
        <is>
          <t>Aide sociale</t>
        </is>
      </c>
      <c r="C14" s="19">
        <f>COUNTIFS(Portefeuille!$F$5:$F$1004,$B14)</f>
        <v/>
      </c>
      <c r="D14" s="25">
        <f>IFERROR(C14/$C$3,"")</f>
        <v/>
      </c>
      <c r="E14" s="19">
        <f>COUNTIFS(Portefeuille!$F$5:$F$1004,$B14,Portefeuille!$K$5:$K$1004,"&lt;&gt;")</f>
        <v/>
      </c>
      <c r="F14" s="25">
        <f>IFERROR(E14/C14,"")</f>
        <v/>
      </c>
      <c r="G14" s="30">
        <f>IFERROR((F14-$F$3)*100,"")</f>
        <v/>
      </c>
      <c r="H14" s="19">
        <f>COUNTIFS(Portefeuille!$F$5:$F$1004,$B14,Portefeuille!$N$5:$N$1004,"Oui")</f>
        <v/>
      </c>
      <c r="I14" s="25">
        <f>IFERROR(H14/E14,"")</f>
        <v/>
      </c>
    </row>
    <row r="15">
      <c r="A15" s="19" t="inlineStr">
        <is>
          <t>Public</t>
        </is>
      </c>
      <c r="B15" s="19" t="inlineStr">
        <is>
          <t>Migrant</t>
        </is>
      </c>
      <c r="C15" s="19">
        <f>COUNTIFS(Portefeuille!$F$5:$F$1004,$B15)</f>
        <v/>
      </c>
      <c r="D15" s="25">
        <f>IFERROR(C15/$C$3,"")</f>
        <v/>
      </c>
      <c r="E15" s="19">
        <f>COUNTIFS(Portefeuille!$F$5:$F$1004,$B15,Portefeuille!$K$5:$K$1004,"&lt;&gt;")</f>
        <v/>
      </c>
      <c r="F15" s="25">
        <f>IFERROR(E15/C15,"")</f>
        <v/>
      </c>
      <c r="G15" s="30">
        <f>IFERROR((F15-$F$3)*100,"")</f>
        <v/>
      </c>
      <c r="H15" s="19">
        <f>COUNTIFS(Portefeuille!$F$5:$F$1004,$B15,Portefeuille!$N$5:$N$1004,"Oui")</f>
        <v/>
      </c>
      <c r="I15" s="25">
        <f>IFERROR(H15/E15,"")</f>
        <v/>
      </c>
    </row>
    <row r="16">
      <c r="A16" s="19" t="inlineStr">
        <is>
          <t>Public</t>
        </is>
      </c>
      <c r="B16" s="19" t="inlineStr">
        <is>
          <t>Étudiant</t>
        </is>
      </c>
      <c r="C16" s="19">
        <f>COUNTIFS(Portefeuille!$F$5:$F$1004,$B16)</f>
        <v/>
      </c>
      <c r="D16" s="25">
        <f>IFERROR(C16/$C$3,"")</f>
        <v/>
      </c>
      <c r="E16" s="19">
        <f>COUNTIFS(Portefeuille!$F$5:$F$1004,$B16,Portefeuille!$K$5:$K$1004,"&lt;&gt;")</f>
        <v/>
      </c>
      <c r="F16" s="25">
        <f>IFERROR(E16/C16,"")</f>
        <v/>
      </c>
      <c r="G16" s="30">
        <f>IFERROR((F16-$F$3)*100,"")</f>
        <v/>
      </c>
      <c r="H16" s="19">
        <f>COUNTIFS(Portefeuille!$F$5:$F$1004,$B16,Portefeuille!$N$5:$N$1004,"Oui")</f>
        <v/>
      </c>
      <c r="I16" s="25">
        <f>IFERROR(H16/E16,"")</f>
        <v/>
      </c>
    </row>
    <row r="17">
      <c r="A17" s="19" t="inlineStr">
        <is>
          <t>Public</t>
        </is>
      </c>
      <c r="B17" s="19" t="inlineStr">
        <is>
          <t>Jeune sans diplôme / NEET</t>
        </is>
      </c>
      <c r="C17" s="19">
        <f>COUNTIFS(Portefeuille!$F$5:$F$1004,$B17)</f>
        <v/>
      </c>
      <c r="D17" s="25">
        <f>IFERROR(C17/$C$3,"")</f>
        <v/>
      </c>
      <c r="E17" s="19">
        <f>COUNTIFS(Portefeuille!$F$5:$F$1004,$B17,Portefeuille!$K$5:$K$1004,"&lt;&gt;")</f>
        <v/>
      </c>
      <c r="F17" s="25">
        <f>IFERROR(E17/C17,"")</f>
        <v/>
      </c>
      <c r="G17" s="30">
        <f>IFERROR((F17-$F$3)*100,"")</f>
        <v/>
      </c>
      <c r="H17" s="19">
        <f>COUNTIFS(Portefeuille!$F$5:$F$1004,$B17,Portefeuille!$N$5:$N$1004,"Oui")</f>
        <v/>
      </c>
      <c r="I17" s="25">
        <f>IFERROR(H17/E17,"")</f>
        <v/>
      </c>
    </row>
    <row r="18">
      <c r="A18" s="19" t="inlineStr">
        <is>
          <t>Public</t>
        </is>
      </c>
      <c r="B18" s="19" t="inlineStr">
        <is>
          <t>Femme éloignée</t>
        </is>
      </c>
      <c r="C18" s="19">
        <f>COUNTIFS(Portefeuille!$F$5:$F$1004,$B18)</f>
        <v/>
      </c>
      <c r="D18" s="25">
        <f>IFERROR(C18/$C$3,"")</f>
        <v/>
      </c>
      <c r="E18" s="19">
        <f>COUNTIFS(Portefeuille!$F$5:$F$1004,$B18,Portefeuille!$K$5:$K$1004,"&lt;&gt;")</f>
        <v/>
      </c>
      <c r="F18" s="25">
        <f>IFERROR(E18/C18,"")</f>
        <v/>
      </c>
      <c r="G18" s="30">
        <f>IFERROR((F18-$F$3)*100,"")</f>
        <v/>
      </c>
      <c r="H18" s="19">
        <f>COUNTIFS(Portefeuille!$F$5:$F$1004,$B18,Portefeuille!$N$5:$N$1004,"Oui")</f>
        <v/>
      </c>
      <c r="I18" s="25">
        <f>IFERROR(H18/E18,"")</f>
        <v/>
      </c>
    </row>
    <row r="19">
      <c r="A19" s="19" t="inlineStr">
        <is>
          <t>Public</t>
        </is>
      </c>
      <c r="B19" s="19" t="inlineStr">
        <is>
          <t>Milieu rural</t>
        </is>
      </c>
      <c r="C19" s="19">
        <f>COUNTIFS(Portefeuille!$F$5:$F$1004,$B19)</f>
        <v/>
      </c>
      <c r="D19" s="25">
        <f>IFERROR(C19/$C$3,"")</f>
        <v/>
      </c>
      <c r="E19" s="19">
        <f>COUNTIFS(Portefeuille!$F$5:$F$1004,$B19,Portefeuille!$K$5:$K$1004,"&lt;&gt;")</f>
        <v/>
      </c>
      <c r="F19" s="25">
        <f>IFERROR(E19/C19,"")</f>
        <v/>
      </c>
      <c r="G19" s="30">
        <f>IFERROR((F19-$F$3)*100,"")</f>
        <v/>
      </c>
      <c r="H19" s="19">
        <f>COUNTIFS(Portefeuille!$F$5:$F$1004,$B19,Portefeuille!$N$5:$N$1004,"Oui")</f>
        <v/>
      </c>
      <c r="I19" s="25">
        <f>IFERROR(H19/E19,"")</f>
        <v/>
      </c>
    </row>
    <row r="20">
      <c r="A20" s="19" t="inlineStr">
        <is>
          <t>Public</t>
        </is>
      </c>
      <c r="B20" s="19" t="inlineStr">
        <is>
          <t>Économie informelle</t>
        </is>
      </c>
      <c r="C20" s="19">
        <f>COUNTIFS(Portefeuille!$F$5:$F$1004,$B20)</f>
        <v/>
      </c>
      <c r="D20" s="25">
        <f>IFERROR(C20/$C$3,"")</f>
        <v/>
      </c>
      <c r="E20" s="19">
        <f>COUNTIFS(Portefeuille!$F$5:$F$1004,$B20,Portefeuille!$K$5:$K$1004,"&lt;&gt;")</f>
        <v/>
      </c>
      <c r="F20" s="25">
        <f>IFERROR(E20/C20,"")</f>
        <v/>
      </c>
      <c r="G20" s="30">
        <f>IFERROR((F20-$F$3)*100,"")</f>
        <v/>
      </c>
      <c r="H20" s="19">
        <f>COUNTIFS(Portefeuille!$F$5:$F$1004,$B20,Portefeuille!$N$5:$N$1004,"Oui")</f>
        <v/>
      </c>
      <c r="I20" s="25">
        <f>IFERROR(H20/E20,"")</f>
        <v/>
      </c>
    </row>
    <row r="21">
      <c r="A21" s="19" t="inlineStr">
        <is>
          <t>Public</t>
        </is>
      </c>
      <c r="B21" s="19" t="inlineStr">
        <is>
          <t>Lauréat formation pro</t>
        </is>
      </c>
      <c r="C21" s="19">
        <f>COUNTIFS(Portefeuille!$F$5:$F$1004,$B21)</f>
        <v/>
      </c>
      <c r="D21" s="25">
        <f>IFERROR(C21/$C$3,"")</f>
        <v/>
      </c>
      <c r="E21" s="19">
        <f>COUNTIFS(Portefeuille!$F$5:$F$1004,$B21,Portefeuille!$K$5:$K$1004,"&lt;&gt;")</f>
        <v/>
      </c>
      <c r="F21" s="25">
        <f>IFERROR(E21/C21,"")</f>
        <v/>
      </c>
      <c r="G21" s="30">
        <f>IFERROR((F21-$F$3)*100,"")</f>
        <v/>
      </c>
      <c r="H21" s="19">
        <f>COUNTIFS(Portefeuille!$F$5:$F$1004,$B21,Portefeuille!$N$5:$N$1004,"Oui")</f>
        <v/>
      </c>
      <c r="I21" s="25">
        <f>IFERROR(H21/E21,"")</f>
        <v/>
      </c>
    </row>
    <row r="22">
      <c r="A22" s="19" t="inlineStr">
        <is>
          <t>Public</t>
        </is>
      </c>
      <c r="B22" s="19" t="inlineStr">
        <is>
          <t>International</t>
        </is>
      </c>
      <c r="C22" s="19">
        <f>COUNTIFS(Portefeuille!$F$5:$F$1004,$B22)</f>
        <v/>
      </c>
      <c r="D22" s="25">
        <f>IFERROR(C22/$C$3,"")</f>
        <v/>
      </c>
      <c r="E22" s="19">
        <f>COUNTIFS(Portefeuille!$F$5:$F$1004,$B22,Portefeuille!$K$5:$K$1004,"&lt;&gt;")</f>
        <v/>
      </c>
      <c r="F22" s="25">
        <f>IFERROR(E22/C22,"")</f>
        <v/>
      </c>
      <c r="G22" s="30">
        <f>IFERROR((F22-$F$3)*100,"")</f>
        <v/>
      </c>
      <c r="H22" s="19">
        <f>COUNTIFS(Portefeuille!$F$5:$F$1004,$B22,Portefeuille!$N$5:$N$1004,"Oui")</f>
        <v/>
      </c>
      <c r="I22" s="25">
        <f>IFERROR(H22/E22,"")</f>
        <v/>
      </c>
    </row>
    <row r="24">
      <c r="A24" s="19" t="inlineStr">
        <is>
          <t>Zone</t>
        </is>
      </c>
      <c r="B24" s="19" t="inlineStr">
        <is>
          <t>Urbaine</t>
        </is>
      </c>
      <c r="C24" s="19">
        <f>COUNTIFS(Portefeuille!$H$5:$H$1004,$B24)</f>
        <v/>
      </c>
      <c r="D24" s="25">
        <f>IFERROR(C24/$C$3,"")</f>
        <v/>
      </c>
      <c r="E24" s="19">
        <f>COUNTIFS(Portefeuille!$H$5:$H$1004,$B24,Portefeuille!$K$5:$K$1004,"&lt;&gt;")</f>
        <v/>
      </c>
      <c r="F24" s="25">
        <f>IFERROR(E24/C24,"")</f>
        <v/>
      </c>
      <c r="G24" s="30">
        <f>IFERROR((F24-$F$3)*100,"")</f>
        <v/>
      </c>
      <c r="H24" s="19">
        <f>COUNTIFS(Portefeuille!$H$5:$H$1004,$B24,Portefeuille!$N$5:$N$1004,"Oui")</f>
        <v/>
      </c>
      <c r="I24" s="25">
        <f>IFERROR(H24/E24,"")</f>
        <v/>
      </c>
    </row>
    <row r="25">
      <c r="A25" s="19" t="inlineStr">
        <is>
          <t>Zone</t>
        </is>
      </c>
      <c r="B25" s="19" t="inlineStr">
        <is>
          <t>Périurbaine</t>
        </is>
      </c>
      <c r="C25" s="19">
        <f>COUNTIFS(Portefeuille!$H$5:$H$1004,$B25)</f>
        <v/>
      </c>
      <c r="D25" s="25">
        <f>IFERROR(C25/$C$3,"")</f>
        <v/>
      </c>
      <c r="E25" s="19">
        <f>COUNTIFS(Portefeuille!$H$5:$H$1004,$B25,Portefeuille!$K$5:$K$1004,"&lt;&gt;")</f>
        <v/>
      </c>
      <c r="F25" s="25">
        <f>IFERROR(E25/C25,"")</f>
        <v/>
      </c>
      <c r="G25" s="30">
        <f>IFERROR((F25-$F$3)*100,"")</f>
        <v/>
      </c>
      <c r="H25" s="19">
        <f>COUNTIFS(Portefeuille!$H$5:$H$1004,$B25,Portefeuille!$N$5:$N$1004,"Oui")</f>
        <v/>
      </c>
      <c r="I25" s="25">
        <f>IFERROR(H25/E25,"")</f>
        <v/>
      </c>
    </row>
    <row r="26">
      <c r="A26" s="19" t="inlineStr">
        <is>
          <t>Zone</t>
        </is>
      </c>
      <c r="B26" s="19" t="inlineStr">
        <is>
          <t>Rurale</t>
        </is>
      </c>
      <c r="C26" s="19">
        <f>COUNTIFS(Portefeuille!$H$5:$H$1004,$B26)</f>
        <v/>
      </c>
      <c r="D26" s="25">
        <f>IFERROR(C26/$C$3,"")</f>
        <v/>
      </c>
      <c r="E26" s="19">
        <f>COUNTIFS(Portefeuille!$H$5:$H$1004,$B26,Portefeuille!$K$5:$K$1004,"&lt;&gt;")</f>
        <v/>
      </c>
      <c r="F26" s="25">
        <f>IFERROR(E26/C26,"")</f>
        <v/>
      </c>
      <c r="G26" s="30">
        <f>IFERROR((F26-$F$3)*100,"")</f>
        <v/>
      </c>
      <c r="H26" s="19">
        <f>COUNTIFS(Portefeuille!$H$5:$H$1004,$B26,Portefeuille!$N$5:$N$1004,"Oui")</f>
        <v/>
      </c>
      <c r="I26" s="25">
        <f>IFERROR(H26/E26,"")</f>
        <v/>
      </c>
    </row>
    <row r="28">
      <c r="A28" s="19" t="inlineStr">
        <is>
          <t>Mode</t>
        </is>
      </c>
      <c r="B28" s="19" t="inlineStr">
        <is>
          <t>Autonome</t>
        </is>
      </c>
      <c r="C28" s="19">
        <f>COUNTIFS(Portefeuille!$I$5:$I$1004,$B28)</f>
        <v/>
      </c>
      <c r="D28" s="25">
        <f>IFERROR(C28/$C$3,"")</f>
        <v/>
      </c>
      <c r="E28" s="19">
        <f>COUNTIFS(Portefeuille!$I$5:$I$1004,$B28,Portefeuille!$K$5:$K$1004,"&lt;&gt;")</f>
        <v/>
      </c>
      <c r="F28" s="25">
        <f>IFERROR(E28/C28,"")</f>
        <v/>
      </c>
      <c r="G28" s="30">
        <f>IFERROR((F28-$F$3)*100,"")</f>
        <v/>
      </c>
      <c r="H28" s="19">
        <f>COUNTIFS(Portefeuille!$I$5:$I$1004,$B28,Portefeuille!$N$5:$N$1004,"Oui")</f>
        <v/>
      </c>
      <c r="I28" s="25">
        <f>IFERROR(H28/E28,"")</f>
        <v/>
      </c>
    </row>
    <row r="29">
      <c r="A29" s="19" t="inlineStr">
        <is>
          <t>Mode</t>
        </is>
      </c>
      <c r="B29" s="19" t="inlineStr">
        <is>
          <t>Guidé</t>
        </is>
      </c>
      <c r="C29" s="19">
        <f>COUNTIFS(Portefeuille!$I$5:$I$1004,$B29)</f>
        <v/>
      </c>
      <c r="D29" s="25">
        <f>IFERROR(C29/$C$3,"")</f>
        <v/>
      </c>
      <c r="E29" s="19">
        <f>COUNTIFS(Portefeuille!$I$5:$I$1004,$B29,Portefeuille!$K$5:$K$1004,"&lt;&gt;")</f>
        <v/>
      </c>
      <c r="F29" s="25">
        <f>IFERROR(E29/C29,"")</f>
        <v/>
      </c>
      <c r="G29" s="30">
        <f>IFERROR((F29-$F$3)*100,"")</f>
        <v/>
      </c>
      <c r="H29" s="19">
        <f>COUNTIFS(Portefeuille!$I$5:$I$1004,$B29,Portefeuille!$N$5:$N$1004,"Oui")</f>
        <v/>
      </c>
      <c r="I29" s="25">
        <f>IFERROR(H29/E29,"")</f>
        <v/>
      </c>
    </row>
    <row r="30">
      <c r="A30" s="19" t="inlineStr">
        <is>
          <t>Mode</t>
        </is>
      </c>
      <c r="B30" s="19" t="inlineStr">
        <is>
          <t>Renforcé</t>
        </is>
      </c>
      <c r="C30" s="19">
        <f>COUNTIFS(Portefeuille!$I$5:$I$1004,$B30)</f>
        <v/>
      </c>
      <c r="D30" s="25">
        <f>IFERROR(C30/$C$3,"")</f>
        <v/>
      </c>
      <c r="E30" s="19">
        <f>COUNTIFS(Portefeuille!$I$5:$I$1004,$B30,Portefeuille!$K$5:$K$1004,"&lt;&gt;")</f>
        <v/>
      </c>
      <c r="F30" s="25">
        <f>IFERROR(E30/C30,"")</f>
        <v/>
      </c>
      <c r="G30" s="30">
        <f>IFERROR((F30-$F$3)*100,"")</f>
        <v/>
      </c>
      <c r="H30" s="19">
        <f>COUNTIFS(Portefeuille!$I$5:$I$1004,$B30,Portefeuille!$N$5:$N$1004,"Oui")</f>
        <v/>
      </c>
      <c r="I30" s="25">
        <f>IFERROR(H30/E30,"")</f>
        <v/>
      </c>
    </row>
    <row r="31">
      <c r="A31" s="19" t="inlineStr">
        <is>
          <t>Mode</t>
        </is>
      </c>
      <c r="B31" s="19" t="inlineStr">
        <is>
          <t>Global</t>
        </is>
      </c>
      <c r="C31" s="19">
        <f>COUNTIFS(Portefeuille!$I$5:$I$1004,$B31)</f>
        <v/>
      </c>
      <c r="D31" s="25">
        <f>IFERROR(C31/$C$3,"")</f>
        <v/>
      </c>
      <c r="E31" s="19">
        <f>COUNTIFS(Portefeuille!$I$5:$I$1004,$B31,Portefeuille!$K$5:$K$1004,"&lt;&gt;")</f>
        <v/>
      </c>
      <c r="F31" s="25">
        <f>IFERROR(E31/C31,"")</f>
        <v/>
      </c>
      <c r="G31" s="30">
        <f>IFERROR((F31-$F$3)*100,"")</f>
        <v/>
      </c>
      <c r="H31" s="19">
        <f>COUNTIFS(Portefeuille!$I$5:$I$1004,$B31,Portefeuille!$N$5:$N$1004,"Oui")</f>
        <v/>
      </c>
      <c r="I31" s="25">
        <f>IFERROR(H31/E31,"")</f>
        <v/>
      </c>
    </row>
    <row r="32">
      <c r="A32" s="19" t="inlineStr">
        <is>
          <t>Mode</t>
        </is>
      </c>
      <c r="B32" s="19" t="inlineStr">
        <is>
          <t>Auto-emploi</t>
        </is>
      </c>
      <c r="C32" s="19">
        <f>COUNTIFS(Portefeuille!$I$5:$I$1004,$B32)</f>
        <v/>
      </c>
      <c r="D32" s="25">
        <f>IFERROR(C32/$C$3,"")</f>
        <v/>
      </c>
      <c r="E32" s="19">
        <f>COUNTIFS(Portefeuille!$I$5:$I$1004,$B32,Portefeuille!$K$5:$K$1004,"&lt;&gt;")</f>
        <v/>
      </c>
      <c r="F32" s="25">
        <f>IFERROR(E32/C32,"")</f>
        <v/>
      </c>
      <c r="G32" s="30">
        <f>IFERROR((F32-$F$3)*100,"")</f>
        <v/>
      </c>
      <c r="H32" s="19">
        <f>COUNTIFS(Portefeuille!$I$5:$I$1004,$B32,Portefeuille!$N$5:$N$1004,"Oui")</f>
        <v/>
      </c>
      <c r="I32" s="25">
        <f>IFERROR(H32/E32,"")</f>
        <v/>
      </c>
    </row>
    <row r="34">
      <c r="A34" s="19" t="inlineStr">
        <is>
          <t>Tranche d'âge</t>
        </is>
      </c>
      <c r="B34" s="19" t="inlineStr">
        <is>
          <t>&lt; 25 ans</t>
        </is>
      </c>
      <c r="C34" s="19">
        <f>COUNTIFS(Portefeuille!$E$5:$E$1004,$B34)</f>
        <v/>
      </c>
      <c r="D34" s="25">
        <f>IFERROR(C34/$C$3,"")</f>
        <v/>
      </c>
      <c r="E34" s="19">
        <f>COUNTIFS(Portefeuille!$E$5:$E$1004,$B34,Portefeuille!$K$5:$K$1004,"&lt;&gt;")</f>
        <v/>
      </c>
      <c r="F34" s="25">
        <f>IFERROR(E34/C34,"")</f>
        <v/>
      </c>
      <c r="G34" s="30">
        <f>IFERROR((F34-$F$3)*100,"")</f>
        <v/>
      </c>
      <c r="H34" s="19">
        <f>COUNTIFS(Portefeuille!$E$5:$E$1004,$B34,Portefeuille!$N$5:$N$1004,"Oui")</f>
        <v/>
      </c>
      <c r="I34" s="25">
        <f>IFERROR(H34/E34,"")</f>
        <v/>
      </c>
    </row>
    <row r="35">
      <c r="A35" s="19" t="inlineStr">
        <is>
          <t>Tranche d'âge</t>
        </is>
      </c>
      <c r="B35" s="19" t="inlineStr">
        <is>
          <t>25–34</t>
        </is>
      </c>
      <c r="C35" s="19">
        <f>COUNTIFS(Portefeuille!$E$5:$E$1004,$B35)</f>
        <v/>
      </c>
      <c r="D35" s="25">
        <f>IFERROR(C35/$C$3,"")</f>
        <v/>
      </c>
      <c r="E35" s="19">
        <f>COUNTIFS(Portefeuille!$E$5:$E$1004,$B35,Portefeuille!$K$5:$K$1004,"&lt;&gt;")</f>
        <v/>
      </c>
      <c r="F35" s="25">
        <f>IFERROR(E35/C35,"")</f>
        <v/>
      </c>
      <c r="G35" s="30">
        <f>IFERROR((F35-$F$3)*100,"")</f>
        <v/>
      </c>
      <c r="H35" s="19">
        <f>COUNTIFS(Portefeuille!$E$5:$E$1004,$B35,Portefeuille!$N$5:$N$1004,"Oui")</f>
        <v/>
      </c>
      <c r="I35" s="25">
        <f>IFERROR(H35/E35,"")</f>
        <v/>
      </c>
    </row>
    <row r="36">
      <c r="A36" s="19" t="inlineStr">
        <is>
          <t>Tranche d'âge</t>
        </is>
      </c>
      <c r="B36" s="19" t="inlineStr">
        <is>
          <t>35–44</t>
        </is>
      </c>
      <c r="C36" s="19">
        <f>COUNTIFS(Portefeuille!$E$5:$E$1004,$B36)</f>
        <v/>
      </c>
      <c r="D36" s="25">
        <f>IFERROR(C36/$C$3,"")</f>
        <v/>
      </c>
      <c r="E36" s="19">
        <f>COUNTIFS(Portefeuille!$E$5:$E$1004,$B36,Portefeuille!$K$5:$K$1004,"&lt;&gt;")</f>
        <v/>
      </c>
      <c r="F36" s="25">
        <f>IFERROR(E36/C36,"")</f>
        <v/>
      </c>
      <c r="G36" s="30">
        <f>IFERROR((F36-$F$3)*100,"")</f>
        <v/>
      </c>
      <c r="H36" s="19">
        <f>COUNTIFS(Portefeuille!$E$5:$E$1004,$B36,Portefeuille!$N$5:$N$1004,"Oui")</f>
        <v/>
      </c>
      <c r="I36" s="25">
        <f>IFERROR(H36/E36,"")</f>
        <v/>
      </c>
    </row>
    <row r="37">
      <c r="A37" s="19" t="inlineStr">
        <is>
          <t>Tranche d'âge</t>
        </is>
      </c>
      <c r="B37" s="19" t="inlineStr">
        <is>
          <t>45–54</t>
        </is>
      </c>
      <c r="C37" s="19">
        <f>COUNTIFS(Portefeuille!$E$5:$E$1004,$B37)</f>
        <v/>
      </c>
      <c r="D37" s="25">
        <f>IFERROR(C37/$C$3,"")</f>
        <v/>
      </c>
      <c r="E37" s="19">
        <f>COUNTIFS(Portefeuille!$E$5:$E$1004,$B37,Portefeuille!$K$5:$K$1004,"&lt;&gt;")</f>
        <v/>
      </c>
      <c r="F37" s="25">
        <f>IFERROR(E37/C37,"")</f>
        <v/>
      </c>
      <c r="G37" s="30">
        <f>IFERROR((F37-$F$3)*100,"")</f>
        <v/>
      </c>
      <c r="H37" s="19">
        <f>COUNTIFS(Portefeuille!$E$5:$E$1004,$B37,Portefeuille!$N$5:$N$1004,"Oui")</f>
        <v/>
      </c>
      <c r="I37" s="25">
        <f>IFERROR(H37/E37,"")</f>
        <v/>
      </c>
    </row>
    <row r="38">
      <c r="A38" s="19" t="inlineStr">
        <is>
          <t>Tranche d'âge</t>
        </is>
      </c>
      <c r="B38" s="19" t="inlineStr">
        <is>
          <t>55 et +</t>
        </is>
      </c>
      <c r="C38" s="19">
        <f>COUNTIFS(Portefeuille!$E$5:$E$1004,$B38)</f>
        <v/>
      </c>
      <c r="D38" s="25">
        <f>IFERROR(C38/$C$3,"")</f>
        <v/>
      </c>
      <c r="E38" s="19">
        <f>COUNTIFS(Portefeuille!$E$5:$E$1004,$B38,Portefeuille!$K$5:$K$1004,"&lt;&gt;")</f>
        <v/>
      </c>
      <c r="F38" s="25">
        <f>IFERROR(E38/C38,"")</f>
        <v/>
      </c>
      <c r="G38" s="30">
        <f>IFERROR((F38-$F$3)*100,"")</f>
        <v/>
      </c>
      <c r="H38" s="19">
        <f>COUNTIFS(Portefeuille!$E$5:$E$1004,$B38,Portefeuille!$N$5:$N$1004,"Oui")</f>
        <v/>
      </c>
      <c r="I38" s="25">
        <f>IFERROR(H38/E38,"")</f>
        <v/>
      </c>
    </row>
    <row r="40">
      <c r="A40" s="19" t="inlineStr">
        <is>
          <t>Niveau</t>
        </is>
      </c>
      <c r="B40" s="19" t="inlineStr">
        <is>
          <t>Sans diplôme</t>
        </is>
      </c>
      <c r="C40" s="19">
        <f>COUNTIFS(Portefeuille!$G$5:$G$1004,$B40)</f>
        <v/>
      </c>
      <c r="D40" s="25">
        <f>IFERROR(C40/$C$3,"")</f>
        <v/>
      </c>
      <c r="E40" s="19">
        <f>COUNTIFS(Portefeuille!$G$5:$G$1004,$B40,Portefeuille!$K$5:$K$1004,"&lt;&gt;")</f>
        <v/>
      </c>
      <c r="F40" s="25">
        <f>IFERROR(E40/C40,"")</f>
        <v/>
      </c>
      <c r="G40" s="30">
        <f>IFERROR((F40-$F$3)*100,"")</f>
        <v/>
      </c>
      <c r="H40" s="19">
        <f>COUNTIFS(Portefeuille!$G$5:$G$1004,$B40,Portefeuille!$N$5:$N$1004,"Oui")</f>
        <v/>
      </c>
      <c r="I40" s="25">
        <f>IFERROR(H40/E40,"")</f>
        <v/>
      </c>
    </row>
    <row r="41">
      <c r="A41" s="19" t="inlineStr">
        <is>
          <t>Niveau</t>
        </is>
      </c>
      <c r="B41" s="19" t="inlineStr">
        <is>
          <t>Primaire/collège</t>
        </is>
      </c>
      <c r="C41" s="19">
        <f>COUNTIFS(Portefeuille!$G$5:$G$1004,$B41)</f>
        <v/>
      </c>
      <c r="D41" s="25">
        <f>IFERROR(C41/$C$3,"")</f>
        <v/>
      </c>
      <c r="E41" s="19">
        <f>COUNTIFS(Portefeuille!$G$5:$G$1004,$B41,Portefeuille!$K$5:$K$1004,"&lt;&gt;")</f>
        <v/>
      </c>
      <c r="F41" s="25">
        <f>IFERROR(E41/C41,"")</f>
        <v/>
      </c>
      <c r="G41" s="30">
        <f>IFERROR((F41-$F$3)*100,"")</f>
        <v/>
      </c>
      <c r="H41" s="19">
        <f>COUNTIFS(Portefeuille!$G$5:$G$1004,$B41,Portefeuille!$N$5:$N$1004,"Oui")</f>
        <v/>
      </c>
      <c r="I41" s="25">
        <f>IFERROR(H41/E41,"")</f>
        <v/>
      </c>
    </row>
    <row r="42">
      <c r="A42" s="19" t="inlineStr">
        <is>
          <t>Niveau</t>
        </is>
      </c>
      <c r="B42" s="19" t="inlineStr">
        <is>
          <t>Bac</t>
        </is>
      </c>
      <c r="C42" s="19">
        <f>COUNTIFS(Portefeuille!$G$5:$G$1004,$B42)</f>
        <v/>
      </c>
      <c r="D42" s="25">
        <f>IFERROR(C42/$C$3,"")</f>
        <v/>
      </c>
      <c r="E42" s="19">
        <f>COUNTIFS(Portefeuille!$G$5:$G$1004,$B42,Portefeuille!$K$5:$K$1004,"&lt;&gt;")</f>
        <v/>
      </c>
      <c r="F42" s="25">
        <f>IFERROR(E42/C42,"")</f>
        <v/>
      </c>
      <c r="G42" s="30">
        <f>IFERROR((F42-$F$3)*100,"")</f>
        <v/>
      </c>
      <c r="H42" s="19">
        <f>COUNTIFS(Portefeuille!$G$5:$G$1004,$B42,Portefeuille!$N$5:$N$1004,"Oui")</f>
        <v/>
      </c>
      <c r="I42" s="25">
        <f>IFERROR(H42/E42,"")</f>
        <v/>
      </c>
    </row>
    <row r="43">
      <c r="A43" s="19" t="inlineStr">
        <is>
          <t>Niveau</t>
        </is>
      </c>
      <c r="B43" s="19" t="inlineStr">
        <is>
          <t>Formation pro</t>
        </is>
      </c>
      <c r="C43" s="19">
        <f>COUNTIFS(Portefeuille!$G$5:$G$1004,$B43)</f>
        <v/>
      </c>
      <c r="D43" s="25">
        <f>IFERROR(C43/$C$3,"")</f>
        <v/>
      </c>
      <c r="E43" s="19">
        <f>COUNTIFS(Portefeuille!$G$5:$G$1004,$B43,Portefeuille!$K$5:$K$1004,"&lt;&gt;")</f>
        <v/>
      </c>
      <c r="F43" s="25">
        <f>IFERROR(E43/C43,"")</f>
        <v/>
      </c>
      <c r="G43" s="30">
        <f>IFERROR((F43-$F$3)*100,"")</f>
        <v/>
      </c>
      <c r="H43" s="19">
        <f>COUNTIFS(Portefeuille!$G$5:$G$1004,$B43,Portefeuille!$N$5:$N$1004,"Oui")</f>
        <v/>
      </c>
      <c r="I43" s="25">
        <f>IFERROR(H43/E43,"")</f>
        <v/>
      </c>
    </row>
    <row r="44">
      <c r="A44" s="19" t="inlineStr">
        <is>
          <t>Niveau</t>
        </is>
      </c>
      <c r="B44" s="19" t="inlineStr">
        <is>
          <t>Bac+2/3</t>
        </is>
      </c>
      <c r="C44" s="19">
        <f>COUNTIFS(Portefeuille!$G$5:$G$1004,$B44)</f>
        <v/>
      </c>
      <c r="D44" s="25">
        <f>IFERROR(C44/$C$3,"")</f>
        <v/>
      </c>
      <c r="E44" s="19">
        <f>COUNTIFS(Portefeuille!$G$5:$G$1004,$B44,Portefeuille!$K$5:$K$1004,"&lt;&gt;")</f>
        <v/>
      </c>
      <c r="F44" s="25">
        <f>IFERROR(E44/C44,"")</f>
        <v/>
      </c>
      <c r="G44" s="30">
        <f>IFERROR((F44-$F$3)*100,"")</f>
        <v/>
      </c>
      <c r="H44" s="19">
        <f>COUNTIFS(Portefeuille!$G$5:$G$1004,$B44,Portefeuille!$N$5:$N$1004,"Oui")</f>
        <v/>
      </c>
      <c r="I44" s="25">
        <f>IFERROR(H44/E44,"")</f>
        <v/>
      </c>
    </row>
    <row r="45">
      <c r="A45" s="19" t="inlineStr">
        <is>
          <t>Niveau</t>
        </is>
      </c>
      <c r="B45" s="19" t="inlineStr">
        <is>
          <t>Bac+5 et +</t>
        </is>
      </c>
      <c r="C45" s="19">
        <f>COUNTIFS(Portefeuille!$G$5:$G$1004,$B45)</f>
        <v/>
      </c>
      <c r="D45" s="25">
        <f>IFERROR(C45/$C$3,"")</f>
        <v/>
      </c>
      <c r="E45" s="19">
        <f>COUNTIFS(Portefeuille!$G$5:$G$1004,$B45,Portefeuille!$K$5:$K$1004,"&lt;&gt;")</f>
        <v/>
      </c>
      <c r="F45" s="25">
        <f>IFERROR(E45/C45,"")</f>
        <v/>
      </c>
      <c r="G45" s="30">
        <f>IFERROR((F45-$F$3)*100,"")</f>
        <v/>
      </c>
      <c r="H45" s="19">
        <f>COUNTIFS(Portefeuille!$G$5:$G$1004,$B45,Portefeuille!$N$5:$N$1004,"Oui")</f>
        <v/>
      </c>
      <c r="I45" s="25">
        <f>IFERROR(H45/E45,"")</f>
        <v/>
      </c>
    </row>
  </sheetData>
  <mergeCells count="2">
    <mergeCell ref="A1:I1"/>
    <mergeCell ref="A2:I2"/>
  </mergeCells>
  <conditionalFormatting sqref="G5:G47">
    <cfRule type="cellIs" priority="1" operator="lessThan" dxfId="0">
      <formula>-10</formula>
    </cfRule>
    <cfRule type="cellIs" priority="2" operator="greaterThan" dxfId="1">
      <formula>10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2026-07-14T14:02:43Z</dcterms:created>
  <dcterms:modified xmlns:dcterms="http://purl.org/dc/terms/" xmlns:xsi="http://www.w3.org/2001/XMLSchema-instance" xsi:type="dcterms:W3CDTF">2026-09-21T12:00:53Z</dcterms:modified>
</cp:coreProperties>
</file>